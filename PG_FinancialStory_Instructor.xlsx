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4effa6f7e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f1ddee8ea0944df"/>
    <x:sheet xmlns:r="http://schemas.openxmlformats.org/officeDocument/2006/relationships" name="01_Input" sheetId="2" r:id="R092e6445431b43ae"/>
    <x:sheet xmlns:r="http://schemas.openxmlformats.org/officeDocument/2006/relationships" name="02_Common_Size" sheetId="3" r:id="R31a2ebb832854b65"/>
    <x:sheet xmlns:r="http://schemas.openxmlformats.org/officeDocument/2006/relationships" name="03_FreeCashFlow" sheetId="4" r:id="R67946aee25c0491b"/>
    <x:sheet xmlns:r="http://schemas.openxmlformats.org/officeDocument/2006/relationships" name="04_DuPont" sheetId="5" r:id="Re643f96a655a4ca4"/>
    <x:sheet xmlns:r="http://schemas.openxmlformats.org/officeDocument/2006/relationships" name="05_FiveYear" sheetId="6" r:id="Re0a599c90fab4776"/>
    <x:sheet xmlns:r="http://schemas.openxmlformats.org/officeDocument/2006/relationships" name="06_Dashboard" sheetId="7" r:id="R10a13b234fef411e"/>
    <x:sheet xmlns:r="http://schemas.openxmlformats.org/officeDocument/2006/relationships" name="07_AI_Verification" sheetId="8" r:id="R46766e5d7c3c4d71"/>
    <x:sheet xmlns:r="http://schemas.openxmlformats.org/officeDocument/2006/relationships" name="08_Sources" sheetId="9" r:id="Ra967f2503ff7426c"/>
  </x:sheets>
  <x:definedNames>
    <x:definedName name="PG_Fiscal_Years_5Y">'01_Input'!$D$5:$H$5</x:definedName>
    <x:definedName name="PG_Net_Sales_5Y">'01_Input'!$D$7:$H$7</x:definedName>
    <x:definedName name="PG_Diluted_EPS_5Y">'01_Input'!$D$21:$H$21</x:definedName>
    <x:definedName name="PG_Net_Sales_FY2025">'01_Input'!$D$7</x:definedName>
    <x:definedName name="PG_COGS_FY2025">'01_Input'!$D$8</x:definedName>
    <x:definedName name="PG_Gross_Profit_FY2025">'01_Input'!$D$9</x:definedName>
    <x:definedName name="PG_SGA_FY2025">'01_Input'!$D$10</x:definedName>
    <x:definedName name="PG_EBIT_FY2025">'01_Input'!$D$12</x:definedName>
    <x:definedName name="PG_EBT_FY2025">'01_Input'!$D$16</x:definedName>
    <x:definedName name="PG_Income_Taxes_FY2025">'01_Input'!$D$17</x:definedName>
    <x:definedName name="PG_Net_Earnings_FY2025">'01_Input'!$D$18</x:definedName>
    <x:definedName name="PG_Diluted_EPS_FY2025">'01_Input'!$D$21</x:definedName>
    <x:definedName name="PG_Total_Assets_FY2025">'01_Input'!$D$30</x:definedName>
    <x:definedName name="PG_Total_Assets_FY2024">'01_Input'!$E$30</x:definedName>
    <x:definedName name="PG_Total_Equity_FY2025">'01_Input'!$D$37</x:definedName>
    <x:definedName name="PG_Total_Equity_FY2024">'01_Input'!$E$37</x:definedName>
    <x:definedName name="PG_CFO_FY2025">'01_Input'!$D$41</x:definedName>
    <x:definedName name="PG_CapEx_FY2025">'01_Input'!$D$42</x:definedName>
    <x:definedName name="PG_Adjusted_FCF_Source_FY2025">'01_Input'!$D$47</x:definedName>
    <x:definedName name="PG_Effective_Tax_Rate">'03_FreeCashFlow'!$C$6</x:definedName>
    <x:definedName name="PG_NOPAT">'03_FreeCashFlow'!$C$8</x:definedName>
    <x:definedName name="PG_Textbook_FCF">'03_FreeCashFlow'!$C$14</x:definedName>
    <x:definedName name="PG_Cash_FCF">'03_FreeCashFlow'!$C$16</x:definedName>
    <x:definedName name="PG_Adjusted_FCF">'03_FreeCashFlow'!$C$19</x:definedName>
    <x:definedName name="PG_Profit_Margin">'04_DuPont'!$D$5</x:definedName>
    <x:definedName name="PG_Asset_Turnover">'04_DuPont'!$D$6</x:definedName>
    <x:definedName name="PG_Equity_Multiplier">'04_DuPont'!$D$7</x:definedName>
    <x:definedName name="PG_ROE">'04_DuPont'!$D$8</x:definedName>
    <x:definedName name="PG_Sales_CAGR_5Y">'05_FiveYear'!$H$5</x:definedName>
    <x:definedName name="PG_EPS_CAGR_5Y">'05_FiveYear'!$H$6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$0.00;[Red]($0.00);-"/>
    <x:numFmt numFmtId="202" formatCode="0.0%;[Red](0.0%);-"/>
    <x:numFmt numFmtId="203" formatCode="0 &quot;bps&quot;;[Red](0 &quot;bps&quot;);-"/>
    <x:numFmt numFmtId="204" formatCode="0.00%;[Red](0.00%);-"/>
    <x:numFmt numFmtId="205" formatCode="0.000x"/>
    <x:numFmt numFmtId="206" formatCode="0.0"/>
    <x:numFmt numFmtId="207" formatCode="0.0000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b/>
      <x:sz val="11"/>
      <x:color rgb="FF008000"/>
      <x:name val="Carlito"/>
    </x:font>
    <x:font>
      <x:b/>
      <x:sz val="11"/>
      <x:color rgb="FF000000"/>
      <x:name val="Carlito"/>
    </x:font>
    <x:font>
      <x:b/>
      <x:sz val="11"/>
      <x:color rgb="FFC00000"/>
      <x:name val="Carlito"/>
    </x:font>
    <x:font>
      <x:sz val="11"/>
      <x:color rgb="FF666666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b/>
      <x:sz val="9"/>
      <x:color rgb="FF666666"/>
      <x:name val="Carlito"/>
    </x:font>
    <x:font>
      <x:sz val="9"/>
      <x:color rgb="FF666666"/>
      <x:name val="Carlito"/>
    </x:font>
    <x:font>
      <x:sz val="11"/>
      <x:color rgb="FF008000"/>
      <x:name val="Carlito"/>
    </x:font>
    <x:font>
      <x:b/>
      <x:sz val="20"/>
      <x:color rgb="FFFFFFFF"/>
      <x:name val="Carlito"/>
    </x:font>
    <x:font>
      <x:b/>
      <x:sz val="13"/>
      <x:color rgb="FF008000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200" fontId="4" fillId="5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10" fillId="0" borderId="0" xfId="0" applyNumberFormat="1" applyFont="1" applyFill="1" applyBorder="1"/>
    <x:xf numFmtId="200" fontId="4" fillId="5" borderId="1" xfId="0" applyNumberFormat="1" applyFont="1" applyFill="1" applyBorder="1" applyAlignment="1">
      <x:alignment horizontal="left" vertical="center"/>
    </x:xf>
    <x:xf numFmtId="200" fontId="0" fillId="0" borderId="1" xfId="0" applyNumberFormat="1" applyFont="1" applyFill="1" applyBorder="1"/>
    <x:xf numFmtId="200" fontId="1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11" fillId="0" borderId="0" xfId="0" applyNumberFormat="1" applyFont="1" applyFill="1" applyBorder="1"/>
    <x:xf numFmtId="200" fontId="11" fillId="0" borderId="1" xfId="0" applyNumberFormat="1" applyFont="1" applyFill="1" applyBorder="1"/>
    <x:xf numFmtId="201" fontId="11" fillId="0" borderId="0" xfId="0" applyNumberFormat="1" applyFont="1" applyFill="1" applyBorder="1"/>
    <x:xf numFmtId="201" fontId="11" fillId="0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200" fontId="4" fillId="5" borderId="0" xfId="0" applyNumberFormat="1" applyFont="1" applyFill="1" applyBorder="1" applyAlignment="1">
      <x:alignment horizontal="left" vertical="center" wrapText="1"/>
    </x:xf>
    <x:xf numFmtId="200" fontId="11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11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200" fontId="4" fillId="5" borderId="1" xfId="0" applyNumberFormat="1" applyFont="1" applyFill="1" applyBorder="1" applyAlignment="1">
      <x:alignment horizontal="left" vertical="center" wrapText="1"/>
    </x:xf>
    <x:xf numFmtId="200" fontId="11" fillId="0" borderId="1" xfId="0" applyNumberFormat="1" applyFont="1" applyFill="1" applyBorder="1" applyAlignment="1">
      <x:alignment wrapText="1"/>
    </x:xf>
    <x:xf numFmtId="200" fontId="1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11" fillId="0" borderId="1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horizontal="left" vertical="center" wrapText="1"/>
    </x:xf>
    <x:xf numFmtId="0" fontId="13" fillId="0" borderId="0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horizontal="left" vertical="center" wrapText="1"/>
    </x:xf>
    <x:xf numFmtId="0" fontId="13" fillId="0" borderId="1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200" fontId="14" fillId="0" borderId="0" xfId="0" applyNumberFormat="1" applyFont="1" applyFill="1" applyBorder="1"/>
    <x:xf numFmtId="200" fontId="1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14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0" fontId="14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1" fontId="14" fillId="0" borderId="0" xfId="0" applyNumberFormat="1" applyFont="1" applyFill="1" applyBorder="1"/>
    <x:xf numFmtId="201" fontId="14" fillId="0" borderId="1" xfId="0" applyNumberFormat="1" applyFont="1" applyFill="1" applyBorder="1"/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/>
    <x:xf numFmtId="0" fontId="15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6" fillId="0" borderId="0" xfId="0" applyNumberFormat="1" applyFont="1" applyFill="1" applyBorder="1"/>
    <x:xf numFmtId="0" fontId="16" fillId="0" borderId="1" xfId="0" applyNumberFormat="1" applyFont="1" applyFill="1" applyBorder="1"/>
    <x:xf numFmtId="200" fontId="16" fillId="0" borderId="0" xfId="0" applyNumberFormat="1" applyFont="1" applyFill="1" applyBorder="1"/>
    <x:xf numFmtId="200" fontId="16" fillId="0" borderId="1" xfId="0" applyNumberFormat="1" applyFont="1" applyFill="1" applyBorder="1"/>
    <x:xf numFmtId="202" fontId="16" fillId="0" borderId="0" xfId="0" applyNumberFormat="1" applyFont="1" applyFill="1" applyBorder="1"/>
    <x:xf numFmtId="202" fontId="16" fillId="0" borderId="1" xfId="0" applyNumberFormat="1" applyFont="1" applyFill="1" applyBorder="1"/>
    <x:xf numFmtId="204" fontId="14" fillId="0" borderId="0" xfId="0" applyNumberFormat="1" applyFont="1" applyFill="1" applyBorder="1"/>
    <x:xf numFmtId="204" fontId="14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4" fontId="14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4" fontId="14" fillId="0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5" fontId="14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14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17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17365D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e5a5ec1fd41b9" /><Relationship Type="http://schemas.openxmlformats.org/officeDocument/2006/relationships/theme" Target="/xl/theme/theme1.xml" Id="R13ad33d031a147b3" /><Relationship Type="http://schemas.openxmlformats.org/officeDocument/2006/relationships/sharedStrings" Target="/xl/sharedStrings.xml" Id="R0d44b5a4270d492b" /><Relationship Type="http://schemas.openxmlformats.org/officeDocument/2006/relationships/worksheet" Target="/xl/worksheets/sheet1.xml" Id="Rbf1ddee8ea0944df" /><Relationship Type="http://schemas.openxmlformats.org/officeDocument/2006/relationships/worksheet" Target="/xl/worksheets/sheet2.xml" Id="R092e6445431b43ae" /><Relationship Type="http://schemas.openxmlformats.org/officeDocument/2006/relationships/worksheet" Target="/xl/worksheets/sheet3.xml" Id="R31a2ebb832854b65" /><Relationship Type="http://schemas.openxmlformats.org/officeDocument/2006/relationships/worksheet" Target="/xl/worksheets/sheet4.xml" Id="R67946aee25c0491b" /><Relationship Type="http://schemas.openxmlformats.org/officeDocument/2006/relationships/worksheet" Target="/xl/worksheets/sheet5.xml" Id="Re643f96a655a4ca4" /><Relationship Type="http://schemas.openxmlformats.org/officeDocument/2006/relationships/worksheet" Target="/xl/worksheets/sheet6.xml" Id="Re0a599c90fab4776" /><Relationship Type="http://schemas.openxmlformats.org/officeDocument/2006/relationships/worksheet" Target="/xl/worksheets/sheet7.xml" Id="R10a13b234fef411e" /><Relationship Type="http://schemas.openxmlformats.org/officeDocument/2006/relationships/worksheet" Target="/xl/worksheets/sheet8.xml" Id="R46766e5d7c3c4d71" /><Relationship Type="http://schemas.openxmlformats.org/officeDocument/2006/relationships/worksheet" Target="/xl/worksheets/sheet9.xml" Id="Ra967f2503ff742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3d2859731e8423a" /><Relationship Type="http://schemas.openxmlformats.org/officeDocument/2006/relationships/image" Target="/xl/media/image2.png" Id="Ra3e8b01915e845df" /><Relationship Type="http://schemas.openxmlformats.org/officeDocument/2006/relationships/image" Target="/xl/media/image3.png" Id="R479bf50101734be1" /><Relationship Type="http://schemas.openxmlformats.org/officeDocument/2006/relationships/image" Target="/xl/media/image4.png" Id="Rab1d0cf0545c4bf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6858000" cy="40005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d2859731e842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7</xdr:row>
      <xdr:rowOff>0</xdr:rowOff>
    </xdr:from>
    <xdr:ext cx="6858000" cy="40005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e8b01915e845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</xdr:row>
      <xdr:rowOff>0</xdr:rowOff>
    </xdr:from>
    <xdr:ext cx="6858000" cy="40005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9bf50101734b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31</xdr:row>
      <xdr:rowOff>0</xdr:rowOff>
    </xdr:from>
    <xdr:ext cx="6858000" cy="34290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1d0cf0545c4b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5a5d5fd02a4f4720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0" hidden="0" customWidth="1"/>
    <x:col min="3" max="3" width="3" hidden="0" customWidth="1"/>
    <x:col min="4" max="4" width="20" hidden="0" customWidth="1"/>
    <x:col min="5" max="5" width="45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5" t="str">
        <x:v>FINC 310 | Procter &amp; Gamble FY2025 Financial Story Dashboard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1" t="str">
        <x:v>Audited Form 10-K data | Instructor solution workbook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Purpose</x:v>
      </x:c>
      <x:c r="B4" s="19" t="str">
        <x:v>Create and audit an income statement Sankey, free cash flow waterfall, five-year revenue/EPS trend, and DuPont ROE decomposition.</x:v>
      </x:c>
      <x:c r="D4" s="25" t="str">
        <x:v>Financial Model Color Conventions</x:v>
      </x:c>
      <x:c r="E4" s="25"/>
      <x:c r="F4" s="25"/>
      <x:c r="G4" s="25"/>
      <x:c r="H4" s="25"/>
    </x:row>
    <x:row r="5">
      <x:c r="A5" s="18" t="str">
        <x:v>Primary source</x:v>
      </x:c>
      <x:c r="B5" s="19" t="str">
        <x:v>The Procter &amp; Gamble Company Form 10-K for the fiscal year ended June 30, 2025.</x:v>
      </x:c>
      <x:c r="D5" s="44" t="str">
        <x:v>Blue text</x:v>
      </x:c>
      <x:c r="E5" s="19" t="str">
        <x:v>Hardcoded audited inputs</x:v>
      </x:c>
    </x:row>
    <x:row r="6">
      <x:c r="A6" s="18" t="str">
        <x:v>Historical source</x:v>
      </x:c>
      <x:c r="B6" s="19" t="str">
        <x:v>P&amp;G FY2022 Form 10-K supplies FY2021 and FY2022 net sales and diluted EPS for the five-year trend.</x:v>
      </x:c>
      <x:c r="D6" s="45" t="str">
        <x:v>Green text</x:v>
      </x:c>
      <x:c r="E6" s="19" t="str">
        <x:v>Links to another worksheet</x:v>
      </x:c>
    </x:row>
    <x:row r="7">
      <x:c r="A7" s="18" t="str">
        <x:v>Units</x:v>
      </x:c>
      <x:c r="B7" s="19" t="str">
        <x:v>USD millions except per-share data. Negative cash-flow statement items are shown in parentheses.</x:v>
      </x:c>
      <x:c r="D7" s="46" t="str">
        <x:v>Black text</x:v>
      </x:c>
      <x:c r="E7" s="19" t="str">
        <x:v>Formulas calculated on the current worksheet</x:v>
      </x:c>
    </x:row>
    <x:row r="8">
      <x:c r="A8" s="18" t="str">
        <x:v>Student responsibility</x:v>
      </x:c>
      <x:c r="B8" s="19" t="str">
        <x:v>AI may generate code, but every number, formula, label, and chart must be reconciled to the audited source.</x:v>
      </x:c>
      <x:c r="D8" s="47" t="str">
        <x:v>Yellow fill</x:v>
      </x:c>
      <x:c r="E8" s="19" t="str">
        <x:v>Student calculation or response required</x:v>
      </x:c>
    </x:row>
    <x:row r="9">
      <x:c r="A9" s="18" t="str">
        <x:v>Python file</x:v>
      </x:c>
      <x:c r="B9" s="19" t="str">
        <x:v>Run pg_financial_story_solution.py against this workbook after completing the student calculation tabs.</x:v>
      </x:c>
      <x:c r="D9" s="48" t="str">
        <x:v>Red parentheses</x:v>
      </x:c>
      <x:c r="E9" s="19" t="str">
        <x:v>Negative values</x:v>
      </x:c>
    </x:row>
    <x:row r="11">
      <x:c r="A11" s="25" t="str">
        <x:v>Workbook Map</x:v>
      </x:c>
      <x:c r="B11" s="25"/>
      <x:c r="C11" s="25"/>
      <x:c r="D11" s="25"/>
      <x:c r="E11" s="25"/>
      <x:c r="F11" s="25"/>
      <x:c r="G11" s="25"/>
      <x:c r="H11" s="25"/>
    </x:row>
    <x:row r="12">
      <x:c r="A12" s="32" t="str">
        <x:v>01_Input</x:v>
      </x:c>
      <x:c r="B12" s="19" t="str">
        <x:v>Standardized, machine-readable audited data with Metric_ID values.</x:v>
      </x:c>
    </x:row>
    <x:row r="13">
      <x:c r="A13" s="32" t="str">
        <x:v>02_Common_Size</x:v>
      </x:c>
      <x:c r="B13" s="19" t="str">
        <x:v>Income statement common-size analysis and margin comparisons.</x:v>
      </x:c>
    </x:row>
    <x:row r="14">
      <x:c r="A14" s="32" t="str">
        <x:v>03_FreeCashFlow</x:v>
      </x:c>
      <x:c r="B14" s="19" t="str">
        <x:v>Textbook FCF and reconciliation to P&amp;G adjusted free cash flow.</x:v>
      </x:c>
    </x:row>
    <x:row r="15">
      <x:c r="A15" s="32" t="str">
        <x:v>04_DuPont</x:v>
      </x:c>
      <x:c r="B15" s="19" t="str">
        <x:v>Profit margin × asset turnover × equity multiplier = ROE.</x:v>
      </x:c>
    </x:row>
    <x:row r="16">
      <x:c r="A16" s="32" t="str">
        <x:v>05_FiveYear</x:v>
      </x:c>
      <x:c r="B16" s="19" t="str">
        <x:v>FY2021-FY2025 net sales and diluted EPS history.</x:v>
      </x:c>
    </x:row>
    <x:row r="17">
      <x:c r="A17" s="32" t="str">
        <x:v>06_Dashboard</x:v>
      </x:c>
      <x:c r="B17" s="19" t="str">
        <x:v>Four completed visuals.</x:v>
      </x:c>
    </x:row>
    <x:row r="18">
      <x:c r="A18" s="32" t="str">
        <x:v>07_AI_Verification</x:v>
      </x:c>
      <x:c r="B18" s="19" t="str">
        <x:v>AI audit table with source values, tolerances, and pass/review status.</x:v>
      </x:c>
    </x:row>
    <x:row r="19">
      <x:c r="A19" s="32" t="str">
        <x:v>08_Sources</x:v>
      </x:c>
      <x:c r="B19" s="19" t="str">
        <x:v>Official URLs, page references, and data definitions.</x:v>
      </x:c>
    </x:row>
  </x:sheetData>
  <x:mergeCells>
    <x:mergeCell ref="A1:H1"/>
    <x:mergeCell ref="A2:H2"/>
    <x:mergeCell ref="A11:H11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3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3" hidden="0" customWidth="1"/>
    <x:col min="10" max="10" width="55" hidden="0" customWidth="1"/>
  </x:cols>
  <x:sheetData>
    <x:row r="1" ht="30" customHeight="1">
      <x:c r="A1" s="54" t="str">
        <x:v>P&amp;G Standardized Audited Financial Data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>
      <x:c r="A2" s="56" t="str">
        <x:v>Machine-readable Metric_ID values are used by the Python solution. Do not rename the sheet, headers, or Metric_ID values.</x:v>
      </x:c>
      <x:c r="B2" s="56"/>
      <x:c r="C2" s="56"/>
      <x:c r="D2" s="56"/>
      <x:c r="E2" s="56"/>
      <x:c r="F2" s="56"/>
      <x:c r="G2" s="56"/>
      <x:c r="H2" s="56"/>
      <x:c r="I2" s="56"/>
      <x:c r="J2" s="56"/>
    </x:row>
    <x:row r="3">
      <x:c r="A3" s="59" t="str">
        <x:v>USD millions except diluted EPS. Fiscal years end June 30.</x:v>
      </x:c>
      <x:c r="B3" s="59"/>
      <x:c r="C3" s="59"/>
      <x:c r="D3" s="59"/>
      <x:c r="E3" s="59"/>
      <x:c r="F3" s="59"/>
      <x:c r="G3" s="59"/>
      <x:c r="H3" s="59"/>
      <x:c r="I3" s="59"/>
      <x:c r="J3" s="59"/>
    </x:row>
    <x:row r="5">
      <x:c r="A5" s="78" t="str">
        <x:v>Metric_ID</x:v>
      </x:c>
      <x:c r="B5" s="78" t="str">
        <x:v>Metric</x:v>
      </x:c>
      <x:c r="C5" s="78" t="str">
        <x:v>Unit</x:v>
      </x:c>
      <x:c r="D5" s="78" t="str">
        <x:v>FY2025</x:v>
      </x:c>
      <x:c r="E5" s="78" t="str">
        <x:v>FY2024</x:v>
      </x:c>
      <x:c r="F5" s="78" t="str">
        <x:v>FY2023</x:v>
      </x:c>
      <x:c r="G5" s="78" t="str">
        <x:v>FY2022</x:v>
      </x:c>
      <x:c r="H5" s="78" t="str">
        <x:v>FY2021</x:v>
      </x:c>
      <x:c r="I5" s="78" t="str">
        <x:v>Source Reference</x:v>
      </x:c>
      <x:c r="J5" s="78" t="str">
        <x:v>Source URL</x:v>
      </x:c>
    </x:row>
    <x:row r="6">
      <x:c r="A6" s="92" t="str">
        <x:v>Income Statement</x:v>
      </x:c>
      <x:c r="B6" s="79" t="str">
        <x:v>Income Statement</x:v>
      </x:c>
      <x:c r="C6" s="79" t="str"/>
      <x:c r="D6" s="80"/>
      <x:c r="E6" s="80"/>
      <x:c r="F6" s="80"/>
      <x:c r="G6" s="80"/>
      <x:c r="H6" s="80"/>
      <x:c r="I6" s="92" t="str">
        <x:v>P&amp;G FY2025 Form 10-K, p. 36</x:v>
      </x:c>
      <x:c r="J6" s="92" t="str">
        <x:v>https://www.sec.gov/Archives/edgar/data/80424/000008042425000076/pg-20250630.htm</x:v>
      </x:c>
    </x:row>
    <x:row r="7">
      <x:c r="A7" s="93" t="str">
        <x:v>NET_SALES</x:v>
      </x:c>
      <x:c r="B7" s="19" t="str">
        <x:v>Net Sales</x:v>
      </x:c>
      <x:c r="C7" s="19" t="str">
        <x:v>$mm</x:v>
      </x:c>
      <x:c r="D7" s="81" t="n">
        <x:v>84284</x:v>
      </x:c>
      <x:c r="E7" s="81" t="n">
        <x:v>84039</x:v>
      </x:c>
      <x:c r="F7" s="81" t="n">
        <x:v>82006</x:v>
      </x:c>
      <x:c r="G7" s="81" t="n">
        <x:v>80187</x:v>
      </x:c>
      <x:c r="H7" s="81" t="n">
        <x:v>76118</x:v>
      </x:c>
      <x:c r="I7" s="93" t="str">
        <x:v>2025 10-K p. 36; 2022 10-K summary</x:v>
      </x:c>
      <x:c r="J7" s="93" t="str">
        <x:v>https://www.sec.gov/Archives/edgar/data/80424/000008042425000076/pg-20250630.htm</x:v>
      </x:c>
    </x:row>
    <x:row r="8">
      <x:c r="A8" s="93" t="str">
        <x:v>COGS</x:v>
      </x:c>
      <x:c r="B8" s="19" t="str">
        <x:v>Cost of Products Sold</x:v>
      </x:c>
      <x:c r="C8" s="19" t="str">
        <x:v>$mm</x:v>
      </x:c>
      <x:c r="D8" s="81" t="n">
        <x:v>41164</x:v>
      </x:c>
      <x:c r="E8" s="81" t="n">
        <x:v>40848</x:v>
      </x:c>
      <x:c r="F8" s="81" t="n">
        <x:v>42760</x:v>
      </x:c>
      <x:c r="G8" s="81"/>
      <x:c r="H8" s="81"/>
      <x:c r="I8" s="93" t="str">
        <x:v>2025 10-K p. 36</x:v>
      </x:c>
      <x:c r="J8" s="93" t="str">
        <x:v>https://www.sec.gov/Archives/edgar/data/80424/000008042425000076/pg-20250630.htm</x:v>
      </x:c>
    </x:row>
    <x:row r="9">
      <x:c r="A9" s="93" t="str">
        <x:v>GROSS_PROFIT</x:v>
      </x:c>
      <x:c r="B9" s="19" t="str">
        <x:v>Gross Profit</x:v>
      </x:c>
      <x:c r="C9" s="19" t="str">
        <x:v>$mm</x:v>
      </x:c>
      <x:c r="D9" s="82" t="n">
        <x:f>D7-D8</x:f>
        <x:v>43120</x:v>
      </x:c>
      <x:c r="E9" s="82" t="n">
        <x:f>E7-E8</x:f>
        <x:v>43191</x:v>
      </x:c>
      <x:c r="F9" s="82" t="n">
        <x:f>F7-F8</x:f>
        <x:v>39246</x:v>
      </x:c>
      <x:c r="G9" s="83"/>
      <x:c r="H9" s="83"/>
      <x:c r="I9" s="93" t="str">
        <x:v>Net Sales - Cost of Products Sold</x:v>
      </x:c>
      <x:c r="J9" s="93" t="str"/>
    </x:row>
    <x:row r="10">
      <x:c r="A10" s="93" t="str">
        <x:v>SGA</x:v>
      </x:c>
      <x:c r="B10" s="19" t="str">
        <x:v>Selling, General &amp; Administrative Expense</x:v>
      </x:c>
      <x:c r="C10" s="19" t="str">
        <x:v>$mm</x:v>
      </x:c>
      <x:c r="D10" s="81" t="n">
        <x:v>22669</x:v>
      </x:c>
      <x:c r="E10" s="81" t="n">
        <x:v>23305</x:v>
      </x:c>
      <x:c r="F10" s="81" t="n">
        <x:v>21112</x:v>
      </x:c>
      <x:c r="G10" s="81"/>
      <x:c r="H10" s="81"/>
      <x:c r="I10" s="93" t="str">
        <x:v>2025 10-K p. 36</x:v>
      </x:c>
      <x:c r="J10" s="93" t="str">
        <x:v>https://www.sec.gov/Archives/edgar/data/80424/000008042425000076/pg-20250630.htm</x:v>
      </x:c>
    </x:row>
    <x:row r="11">
      <x:c r="A11" s="93" t="str">
        <x:v>IMPAIRMENT</x:v>
      </x:c>
      <x:c r="B11" s="19" t="str">
        <x:v>Indefinite-Lived Intangible Asset Impairment</x:v>
      </x:c>
      <x:c r="C11" s="19" t="str">
        <x:v>$mm</x:v>
      </x:c>
      <x:c r="D11" s="81" t="n">
        <x:v>0</x:v>
      </x:c>
      <x:c r="E11" s="81" t="n">
        <x:v>1341</x:v>
      </x:c>
      <x:c r="F11" s="81" t="n">
        <x:v>0</x:v>
      </x:c>
      <x:c r="G11" s="81"/>
      <x:c r="H11" s="81"/>
      <x:c r="I11" s="93" t="str">
        <x:v>2025 10-K p. 36</x:v>
      </x:c>
      <x:c r="J11" s="93" t="str">
        <x:v>https://www.sec.gov/Archives/edgar/data/80424/000008042425000076/pg-20250630.htm</x:v>
      </x:c>
    </x:row>
    <x:row r="12">
      <x:c r="A12" s="93" t="str">
        <x:v>OPERATING_INCOME</x:v>
      </x:c>
      <x:c r="B12" s="19" t="str">
        <x:v>Operating Income (EBIT)</x:v>
      </x:c>
      <x:c r="C12" s="19" t="str">
        <x:v>$mm</x:v>
      </x:c>
      <x:c r="D12" s="81" t="n">
        <x:v>20451</x:v>
      </x:c>
      <x:c r="E12" s="81" t="n">
        <x:v>18545</x:v>
      </x:c>
      <x:c r="F12" s="81" t="n">
        <x:v>18134</x:v>
      </x:c>
      <x:c r="G12" s="81"/>
      <x:c r="H12" s="81"/>
      <x:c r="I12" s="93" t="str">
        <x:v>2025 10-K p. 36</x:v>
      </x:c>
      <x:c r="J12" s="93" t="str">
        <x:v>https://www.sec.gov/Archives/edgar/data/80424/000008042425000076/pg-20250630.htm</x:v>
      </x:c>
    </x:row>
    <x:row r="13">
      <x:c r="A13" s="93" t="str">
        <x:v>INTEREST_EXPENSE</x:v>
      </x:c>
      <x:c r="B13" s="19" t="str">
        <x:v>Interest Expense</x:v>
      </x:c>
      <x:c r="C13" s="19" t="str">
        <x:v>$mm</x:v>
      </x:c>
      <x:c r="D13" s="81" t="n">
        <x:v>-907</x:v>
      </x:c>
      <x:c r="E13" s="81" t="n">
        <x:v>-925</x:v>
      </x:c>
      <x:c r="F13" s="81" t="n">
        <x:v>-756</x:v>
      </x:c>
      <x:c r="G13" s="81"/>
      <x:c r="H13" s="81"/>
      <x:c r="I13" s="93" t="str">
        <x:v>2025 10-K p. 36</x:v>
      </x:c>
      <x:c r="J13" s="93" t="str">
        <x:v>https://www.sec.gov/Archives/edgar/data/80424/000008042425000076/pg-20250630.htm</x:v>
      </x:c>
    </x:row>
    <x:row r="14">
      <x:c r="A14" s="93" t="str">
        <x:v>INTEREST_INCOME</x:v>
      </x:c>
      <x:c r="B14" s="19" t="str">
        <x:v>Interest Income</x:v>
      </x:c>
      <x:c r="C14" s="19" t="str">
        <x:v>$mm</x:v>
      </x:c>
      <x:c r="D14" s="81" t="n">
        <x:v>469</x:v>
      </x:c>
      <x:c r="E14" s="81" t="n">
        <x:v>473</x:v>
      </x:c>
      <x:c r="F14" s="81" t="n">
        <x:v>307</x:v>
      </x:c>
      <x:c r="G14" s="81"/>
      <x:c r="H14" s="81"/>
      <x:c r="I14" s="93" t="str">
        <x:v>2025 10-K p. 36</x:v>
      </x:c>
      <x:c r="J14" s="93" t="str">
        <x:v>https://www.sec.gov/Archives/edgar/data/80424/000008042425000076/pg-20250630.htm</x:v>
      </x:c>
    </x:row>
    <x:row r="15">
      <x:c r="A15" s="93" t="str">
        <x:v>OTHER_NONOP</x:v>
      </x:c>
      <x:c r="B15" s="19" t="str">
        <x:v>Other Non-Operating Income, Net</x:v>
      </x:c>
      <x:c r="C15" s="19" t="str">
        <x:v>$mm</x:v>
      </x:c>
      <x:c r="D15" s="81" t="n">
        <x:v>154</x:v>
      </x:c>
      <x:c r="E15" s="81" t="n">
        <x:v>668</x:v>
      </x:c>
      <x:c r="F15" s="81" t="n">
        <x:v>668</x:v>
      </x:c>
      <x:c r="G15" s="81"/>
      <x:c r="H15" s="81"/>
      <x:c r="I15" s="93" t="str">
        <x:v>2025 10-K p. 36</x:v>
      </x:c>
      <x:c r="J15" s="93" t="str">
        <x:v>https://www.sec.gov/Archives/edgar/data/80424/000008042425000076/pg-20250630.htm</x:v>
      </x:c>
    </x:row>
    <x:row r="16">
      <x:c r="A16" s="93" t="str">
        <x:v>EBT</x:v>
      </x:c>
      <x:c r="B16" s="19" t="str">
        <x:v>Earnings Before Income Taxes</x:v>
      </x:c>
      <x:c r="C16" s="19" t="str">
        <x:v>$mm</x:v>
      </x:c>
      <x:c r="D16" s="81" t="n">
        <x:v>20167</x:v>
      </x:c>
      <x:c r="E16" s="81" t="n">
        <x:v>18761</x:v>
      </x:c>
      <x:c r="F16" s="81" t="n">
        <x:v>18353</x:v>
      </x:c>
      <x:c r="G16" s="81"/>
      <x:c r="H16" s="81"/>
      <x:c r="I16" s="93" t="str">
        <x:v>2025 10-K p. 36</x:v>
      </x:c>
      <x:c r="J16" s="93" t="str">
        <x:v>https://www.sec.gov/Archives/edgar/data/80424/000008042425000076/pg-20250630.htm</x:v>
      </x:c>
    </x:row>
    <x:row r="17">
      <x:c r="A17" s="93" t="str">
        <x:v>INCOME_TAXES</x:v>
      </x:c>
      <x:c r="B17" s="19" t="str">
        <x:v>Income Taxes</x:v>
      </x:c>
      <x:c r="C17" s="19" t="str">
        <x:v>$mm</x:v>
      </x:c>
      <x:c r="D17" s="81" t="n">
        <x:v>4102</x:v>
      </x:c>
      <x:c r="E17" s="81" t="n">
        <x:v>3787</x:v>
      </x:c>
      <x:c r="F17" s="81" t="n">
        <x:v>3615</x:v>
      </x:c>
      <x:c r="G17" s="81"/>
      <x:c r="H17" s="81"/>
      <x:c r="I17" s="93" t="str">
        <x:v>2025 10-K p. 36</x:v>
      </x:c>
      <x:c r="J17" s="93" t="str">
        <x:v>https://www.sec.gov/Archives/edgar/data/80424/000008042425000076/pg-20250630.htm</x:v>
      </x:c>
    </x:row>
    <x:row r="18">
      <x:c r="A18" s="93" t="str">
        <x:v>NET_EARNINGS</x:v>
      </x:c>
      <x:c r="B18" s="19" t="str">
        <x:v>Net Earnings</x:v>
      </x:c>
      <x:c r="C18" s="19" t="str">
        <x:v>$mm</x:v>
      </x:c>
      <x:c r="D18" s="81" t="n">
        <x:v>16065</x:v>
      </x:c>
      <x:c r="E18" s="81" t="n">
        <x:v>14974</x:v>
      </x:c>
      <x:c r="F18" s="81" t="n">
        <x:v>14738</x:v>
      </x:c>
      <x:c r="G18" s="81"/>
      <x:c r="H18" s="81"/>
      <x:c r="I18" s="93" t="str">
        <x:v>2025 10-K p. 36</x:v>
      </x:c>
      <x:c r="J18" s="93" t="str">
        <x:v>https://www.sec.gov/Archives/edgar/data/80424/000008042425000076/pg-20250630.htm</x:v>
      </x:c>
    </x:row>
    <x:row r="19">
      <x:c r="A19" s="93" t="str">
        <x:v>NCI</x:v>
      </x:c>
      <x:c r="B19" s="19" t="str">
        <x:v>Net Earnings Attributable to Noncontrolling Interests</x:v>
      </x:c>
      <x:c r="C19" s="19" t="str">
        <x:v>$mm</x:v>
      </x:c>
      <x:c r="D19" s="81" t="n">
        <x:v>91</x:v>
      </x:c>
      <x:c r="E19" s="81" t="n">
        <x:v>95</x:v>
      </x:c>
      <x:c r="F19" s="81" t="n">
        <x:v>85</x:v>
      </x:c>
      <x:c r="G19" s="81"/>
      <x:c r="H19" s="81"/>
      <x:c r="I19" s="93" t="str">
        <x:v>2025 10-K p. 36</x:v>
      </x:c>
      <x:c r="J19" s="93" t="str">
        <x:v>https://www.sec.gov/Archives/edgar/data/80424/000008042425000076/pg-20250630.htm</x:v>
      </x:c>
    </x:row>
    <x:row r="20">
      <x:c r="A20" s="93" t="str">
        <x:v>NET_INCOME_PG</x:v>
      </x:c>
      <x:c r="B20" s="19" t="str">
        <x:v>Net Earnings Attributable to P&amp;G</x:v>
      </x:c>
      <x:c r="C20" s="19" t="str">
        <x:v>$mm</x:v>
      </x:c>
      <x:c r="D20" s="81" t="n">
        <x:v>15974</x:v>
      </x:c>
      <x:c r="E20" s="81" t="n">
        <x:v>14879</x:v>
      </x:c>
      <x:c r="F20" s="81" t="n">
        <x:v>14653</x:v>
      </x:c>
      <x:c r="G20" s="81"/>
      <x:c r="H20" s="81"/>
      <x:c r="I20" s="93" t="str">
        <x:v>2025 10-K p. 36</x:v>
      </x:c>
      <x:c r="J20" s="93" t="str">
        <x:v>https://www.sec.gov/Archives/edgar/data/80424/000008042425000076/pg-20250630.htm</x:v>
      </x:c>
    </x:row>
    <x:row r="21">
      <x:c r="A21" s="93" t="str">
        <x:v>DILUTED_EPS</x:v>
      </x:c>
      <x:c r="B21" s="19" t="str">
        <x:v>Diluted EPS</x:v>
      </x:c>
      <x:c r="C21" s="19" t="str">
        <x:v>$/share</x:v>
      </x:c>
      <x:c r="D21" s="84" t="n">
        <x:v>6.51</x:v>
      </x:c>
      <x:c r="E21" s="84" t="n">
        <x:v>6.02</x:v>
      </x:c>
      <x:c r="F21" s="84" t="n">
        <x:v>5.9</x:v>
      </x:c>
      <x:c r="G21" s="84" t="n">
        <x:v>5.81</x:v>
      </x:c>
      <x:c r="H21" s="84" t="n">
        <x:v>5.5</x:v>
      </x:c>
      <x:c r="I21" s="93" t="str">
        <x:v>2025 10-K p. 36; 2022 10-K summary</x:v>
      </x:c>
      <x:c r="J21" s="93" t="str">
        <x:v>https://www.sec.gov/Archives/edgar/data/80424/000008042425000076/pg-20250630.htm</x:v>
      </x:c>
    </x:row>
    <x:row r="22" ht="6" customHeight="1">
      <x:c r="A22" s="93" t="str"/>
      <x:c r="B22" s="19" t="str"/>
      <x:c r="C22" s="19" t="str"/>
      <x:c r="D22" s="83"/>
      <x:c r="E22" s="83"/>
      <x:c r="F22" s="83"/>
      <x:c r="G22" s="83"/>
      <x:c r="H22" s="83"/>
      <x:c r="I22" s="93" t="str"/>
      <x:c r="J22" s="93" t="str"/>
    </x:row>
    <x:row r="23">
      <x:c r="A23" s="92" t="str">
        <x:v>Balance Sheet</x:v>
      </x:c>
      <x:c r="B23" s="79" t="str">
        <x:v>Balance Sheet</x:v>
      </x:c>
      <x:c r="C23" s="79" t="str"/>
      <x:c r="D23" s="80"/>
      <x:c r="E23" s="80"/>
      <x:c r="F23" s="80"/>
      <x:c r="G23" s="80"/>
      <x:c r="H23" s="80"/>
      <x:c r="I23" s="92" t="str">
        <x:v>P&amp;G FY2025 Form 10-K, p. 37</x:v>
      </x:c>
      <x:c r="J23" s="92" t="str">
        <x:v>https://www.sec.gov/Archives/edgar/data/80424/000008042425000076/pg-20250630.htm</x:v>
      </x:c>
    </x:row>
    <x:row r="24">
      <x:c r="A24" s="93" t="str">
        <x:v>CASH</x:v>
      </x:c>
      <x:c r="B24" s="19" t="str">
        <x:v>Cash and Cash Equivalents</x:v>
      </x:c>
      <x:c r="C24" s="19" t="str">
        <x:v>$mm</x:v>
      </x:c>
      <x:c r="D24" s="81" t="n">
        <x:v>9556</x:v>
      </x:c>
      <x:c r="E24" s="81" t="n">
        <x:v>9482</x:v>
      </x:c>
      <x:c r="F24" s="81"/>
      <x:c r="G24" s="81"/>
      <x:c r="H24" s="81"/>
      <x:c r="I24" s="93" t="str">
        <x:v>2025 10-K p. 37</x:v>
      </x:c>
      <x:c r="J24" s="93" t="str">
        <x:v>https://www.sec.gov/Archives/edgar/data/80424/000008042425000076/pg-20250630.htm</x:v>
      </x:c>
    </x:row>
    <x:row r="25">
      <x:c r="A25" s="93" t="str">
        <x:v>AR</x:v>
      </x:c>
      <x:c r="B25" s="19" t="str">
        <x:v>Accounts Receivable</x:v>
      </x:c>
      <x:c r="C25" s="19" t="str">
        <x:v>$mm</x:v>
      </x:c>
      <x:c r="D25" s="81" t="n">
        <x:v>6185</x:v>
      </x:c>
      <x:c r="E25" s="81" t="n">
        <x:v>6118</x:v>
      </x:c>
      <x:c r="F25" s="81"/>
      <x:c r="G25" s="81"/>
      <x:c r="H25" s="81"/>
      <x:c r="I25" s="93" t="str">
        <x:v>2025 10-K p. 37</x:v>
      </x:c>
      <x:c r="J25" s="93" t="str">
        <x:v>https://www.sec.gov/Archives/edgar/data/80424/000008042425000076/pg-20250630.htm</x:v>
      </x:c>
    </x:row>
    <x:row r="26">
      <x:c r="A26" s="93" t="str">
        <x:v>INVENTORY</x:v>
      </x:c>
      <x:c r="B26" s="19" t="str">
        <x:v>Total Inventories</x:v>
      </x:c>
      <x:c r="C26" s="19" t="str">
        <x:v>$mm</x:v>
      </x:c>
      <x:c r="D26" s="81" t="n">
        <x:v>7551</x:v>
      </x:c>
      <x:c r="E26" s="81" t="n">
        <x:v>7016</x:v>
      </x:c>
      <x:c r="F26" s="81"/>
      <x:c r="G26" s="81"/>
      <x:c r="H26" s="81"/>
      <x:c r="I26" s="93" t="str">
        <x:v>2025 10-K p. 37</x:v>
      </x:c>
      <x:c r="J26" s="93" t="str">
        <x:v>https://www.sec.gov/Archives/edgar/data/80424/000008042425000076/pg-20250630.htm</x:v>
      </x:c>
    </x:row>
    <x:row r="27">
      <x:c r="A27" s="93" t="str">
        <x:v>PREPAIDS</x:v>
      </x:c>
      <x:c r="B27" s="19" t="str">
        <x:v>Prepaid Expenses and Other Current Assets</x:v>
      </x:c>
      <x:c r="C27" s="19" t="str">
        <x:v>$mm</x:v>
      </x:c>
      <x:c r="D27" s="81" t="n">
        <x:v>2100</x:v>
      </x:c>
      <x:c r="E27" s="81" t="n">
        <x:v>2095</x:v>
      </x:c>
      <x:c r="F27" s="81"/>
      <x:c r="G27" s="81"/>
      <x:c r="H27" s="81"/>
      <x:c r="I27" s="93" t="str">
        <x:v>2025 10-K p. 37</x:v>
      </x:c>
      <x:c r="J27" s="93" t="str">
        <x:v>https://www.sec.gov/Archives/edgar/data/80424/000008042425000076/pg-20250630.htm</x:v>
      </x:c>
    </x:row>
    <x:row r="28">
      <x:c r="A28" s="93" t="str">
        <x:v>CURRENT_ASSETS</x:v>
      </x:c>
      <x:c r="B28" s="19" t="str">
        <x:v>Total Current Assets</x:v>
      </x:c>
      <x:c r="C28" s="19" t="str">
        <x:v>$mm</x:v>
      </x:c>
      <x:c r="D28" s="81" t="n">
        <x:v>25392</x:v>
      </x:c>
      <x:c r="E28" s="81" t="n">
        <x:v>24709</x:v>
      </x:c>
      <x:c r="F28" s="81"/>
      <x:c r="G28" s="81"/>
      <x:c r="H28" s="81"/>
      <x:c r="I28" s="93" t="str">
        <x:v>2025 10-K p. 37</x:v>
      </x:c>
      <x:c r="J28" s="93" t="str">
        <x:v>https://www.sec.gov/Archives/edgar/data/80424/000008042425000076/pg-20250630.htm</x:v>
      </x:c>
    </x:row>
    <x:row r="29">
      <x:c r="A29" s="93" t="str">
        <x:v>PP&amp;E</x:v>
      </x:c>
      <x:c r="B29" s="19" t="str">
        <x:v>Property, Plant &amp; Equipment, Net</x:v>
      </x:c>
      <x:c r="C29" s="19" t="str">
        <x:v>$mm</x:v>
      </x:c>
      <x:c r="D29" s="81" t="n">
        <x:v>23897</x:v>
      </x:c>
      <x:c r="E29" s="81" t="n">
        <x:v>22152</x:v>
      </x:c>
      <x:c r="F29" s="81"/>
      <x:c r="G29" s="81"/>
      <x:c r="H29" s="81"/>
      <x:c r="I29" s="93" t="str">
        <x:v>2025 10-K p. 37</x:v>
      </x:c>
      <x:c r="J29" s="93" t="str">
        <x:v>https://www.sec.gov/Archives/edgar/data/80424/000008042425000076/pg-20250630.htm</x:v>
      </x:c>
    </x:row>
    <x:row r="30">
      <x:c r="A30" s="93" t="str">
        <x:v>TOTAL_ASSETS</x:v>
      </x:c>
      <x:c r="B30" s="19" t="str">
        <x:v>Total Assets</x:v>
      </x:c>
      <x:c r="C30" s="19" t="str">
        <x:v>$mm</x:v>
      </x:c>
      <x:c r="D30" s="81" t="n">
        <x:v>125231</x:v>
      </x:c>
      <x:c r="E30" s="81" t="n">
        <x:v>122370</x:v>
      </x:c>
      <x:c r="F30" s="81"/>
      <x:c r="G30" s="81"/>
      <x:c r="H30" s="81"/>
      <x:c r="I30" s="93" t="str">
        <x:v>2025 10-K p. 37</x:v>
      </x:c>
      <x:c r="J30" s="93" t="str">
        <x:v>https://www.sec.gov/Archives/edgar/data/80424/000008042425000076/pg-20250630.htm</x:v>
      </x:c>
    </x:row>
    <x:row r="31">
      <x:c r="A31" s="93" t="str">
        <x:v>AP</x:v>
      </x:c>
      <x:c r="B31" s="19" t="str">
        <x:v>Accounts Payable</x:v>
      </x:c>
      <x:c r="C31" s="19" t="str">
        <x:v>$mm</x:v>
      </x:c>
      <x:c r="D31" s="81" t="n">
        <x:v>15227</x:v>
      </x:c>
      <x:c r="E31" s="81" t="n">
        <x:v>15364</x:v>
      </x:c>
      <x:c r="F31" s="81"/>
      <x:c r="G31" s="81"/>
      <x:c r="H31" s="81"/>
      <x:c r="I31" s="93" t="str">
        <x:v>2025 10-K p. 37</x:v>
      </x:c>
      <x:c r="J31" s="93" t="str">
        <x:v>https://www.sec.gov/Archives/edgar/data/80424/000008042425000076/pg-20250630.htm</x:v>
      </x:c>
    </x:row>
    <x:row r="32">
      <x:c r="A32" s="93" t="str">
        <x:v>ACCRUED_LIABILITIES</x:v>
      </x:c>
      <x:c r="B32" s="19" t="str">
        <x:v>Accrued and Other Liabilities</x:v>
      </x:c>
      <x:c r="C32" s="19" t="str">
        <x:v>$mm</x:v>
      </x:c>
      <x:c r="D32" s="81" t="n">
        <x:v>11318</x:v>
      </x:c>
      <x:c r="E32" s="81" t="n">
        <x:v>11073</x:v>
      </x:c>
      <x:c r="F32" s="81"/>
      <x:c r="G32" s="81"/>
      <x:c r="H32" s="81"/>
      <x:c r="I32" s="93" t="str">
        <x:v>2025 10-K p. 37</x:v>
      </x:c>
      <x:c r="J32" s="93" t="str">
        <x:v>https://www.sec.gov/Archives/edgar/data/80424/000008042425000076/pg-20250630.htm</x:v>
      </x:c>
    </x:row>
    <x:row r="33">
      <x:c r="A33" s="93" t="str">
        <x:v>CURRENT_DEBT</x:v>
      </x:c>
      <x:c r="B33" s="19" t="str">
        <x:v>Debt Due Within One Year</x:v>
      </x:c>
      <x:c r="C33" s="19" t="str">
        <x:v>$mm</x:v>
      </x:c>
      <x:c r="D33" s="81" t="n">
        <x:v>9513</x:v>
      </x:c>
      <x:c r="E33" s="81" t="n">
        <x:v>7191</x:v>
      </x:c>
      <x:c r="F33" s="81"/>
      <x:c r="G33" s="81"/>
      <x:c r="H33" s="81"/>
      <x:c r="I33" s="93" t="str">
        <x:v>2025 10-K p. 37</x:v>
      </x:c>
      <x:c r="J33" s="93" t="str">
        <x:v>https://www.sec.gov/Archives/edgar/data/80424/000008042425000076/pg-20250630.htm</x:v>
      </x:c>
    </x:row>
    <x:row r="34">
      <x:c r="A34" s="93" t="str">
        <x:v>CURRENT_LIABILITIES</x:v>
      </x:c>
      <x:c r="B34" s="19" t="str">
        <x:v>Total Current Liabilities</x:v>
      </x:c>
      <x:c r="C34" s="19" t="str">
        <x:v>$mm</x:v>
      </x:c>
      <x:c r="D34" s="81" t="n">
        <x:v>36058</x:v>
      </x:c>
      <x:c r="E34" s="81" t="n">
        <x:v>33627</x:v>
      </x:c>
      <x:c r="F34" s="81"/>
      <x:c r="G34" s="81"/>
      <x:c r="H34" s="81"/>
      <x:c r="I34" s="93" t="str">
        <x:v>2025 10-K p. 37</x:v>
      </x:c>
      <x:c r="J34" s="93" t="str">
        <x:v>https://www.sec.gov/Archives/edgar/data/80424/000008042425000076/pg-20250630.htm</x:v>
      </x:c>
    </x:row>
    <x:row r="35">
      <x:c r="A35" s="93" t="str">
        <x:v>LONG_TERM_DEBT</x:v>
      </x:c>
      <x:c r="B35" s="19" t="str">
        <x:v>Long-Term Debt</x:v>
      </x:c>
      <x:c r="C35" s="19" t="str">
        <x:v>$mm</x:v>
      </x:c>
      <x:c r="D35" s="81" t="n">
        <x:v>24995</x:v>
      </x:c>
      <x:c r="E35" s="81" t="n">
        <x:v>25269</x:v>
      </x:c>
      <x:c r="F35" s="81"/>
      <x:c r="G35" s="81"/>
      <x:c r="H35" s="81"/>
      <x:c r="I35" s="93" t="str">
        <x:v>2025 10-K p. 37</x:v>
      </x:c>
      <x:c r="J35" s="93" t="str">
        <x:v>https://www.sec.gov/Archives/edgar/data/80424/000008042425000076/pg-20250630.htm</x:v>
      </x:c>
    </x:row>
    <x:row r="36">
      <x:c r="A36" s="93" t="str">
        <x:v>TOTAL_LIABILITIES</x:v>
      </x:c>
      <x:c r="B36" s="19" t="str">
        <x:v>Total Liabilities</x:v>
      </x:c>
      <x:c r="C36" s="19" t="str">
        <x:v>$mm</x:v>
      </x:c>
      <x:c r="D36" s="81" t="n">
        <x:v>72946</x:v>
      </x:c>
      <x:c r="E36" s="81" t="n">
        <x:v>71811</x:v>
      </x:c>
      <x:c r="F36" s="81"/>
      <x:c r="G36" s="81"/>
      <x:c r="H36" s="81"/>
      <x:c r="I36" s="93" t="str">
        <x:v>2025 10-K p. 37</x:v>
      </x:c>
      <x:c r="J36" s="93" t="str">
        <x:v>https://www.sec.gov/Archives/edgar/data/80424/000008042425000076/pg-20250630.htm</x:v>
      </x:c>
    </x:row>
    <x:row r="37">
      <x:c r="A37" s="93" t="str">
        <x:v>TOTAL_EQUITY</x:v>
      </x:c>
      <x:c r="B37" s="19" t="str">
        <x:v>Total Shareholders' Equity</x:v>
      </x:c>
      <x:c r="C37" s="19" t="str">
        <x:v>$mm</x:v>
      </x:c>
      <x:c r="D37" s="81" t="n">
        <x:v>52284</x:v>
      </x:c>
      <x:c r="E37" s="81" t="n">
        <x:v>50559</x:v>
      </x:c>
      <x:c r="F37" s="81"/>
      <x:c r="G37" s="81"/>
      <x:c r="H37" s="81"/>
      <x:c r="I37" s="93" t="str">
        <x:v>2025 10-K p. 37</x:v>
      </x:c>
      <x:c r="J37" s="93" t="str">
        <x:v>https://www.sec.gov/Archives/edgar/data/80424/000008042425000076/pg-20250630.htm</x:v>
      </x:c>
    </x:row>
    <x:row r="38" ht="6" customHeight="1">
      <x:c r="A38" s="93" t="str"/>
      <x:c r="B38" s="19" t="str"/>
      <x:c r="C38" s="19" t="str"/>
      <x:c r="D38" s="83"/>
      <x:c r="E38" s="83"/>
      <x:c r="F38" s="83"/>
      <x:c r="G38" s="83"/>
      <x:c r="H38" s="83"/>
      <x:c r="I38" s="93" t="str"/>
      <x:c r="J38" s="93" t="str"/>
    </x:row>
    <x:row r="39">
      <x:c r="A39" s="92" t="str">
        <x:v>Cash Flow Statement and Company-Reported FCF</x:v>
      </x:c>
      <x:c r="B39" s="79" t="str">
        <x:v>Cash Flow Statement and Company-Reported FCF</x:v>
      </x:c>
      <x:c r="C39" s="79" t="str"/>
      <x:c r="D39" s="80"/>
      <x:c r="E39" s="80"/>
      <x:c r="F39" s="80"/>
      <x:c r="G39" s="80"/>
      <x:c r="H39" s="80"/>
      <x:c r="I39" s="92" t="str">
        <x:v>P&amp;G FY2025 Form 10-K, pp. 39 and 30</x:v>
      </x:c>
      <x:c r="J39" s="92" t="str">
        <x:v>https://www.sec.gov/Archives/edgar/data/80424/000008042425000076/pg-20250630.htm</x:v>
      </x:c>
    </x:row>
    <x:row r="40">
      <x:c r="A40" s="93" t="str">
        <x:v>D_AND_A</x:v>
      </x:c>
      <x:c r="B40" s="19" t="str">
        <x:v>Depreciation and Amortization</x:v>
      </x:c>
      <x:c r="C40" s="19" t="str">
        <x:v>$mm</x:v>
      </x:c>
      <x:c r="D40" s="81" t="n">
        <x:v>2847</x:v>
      </x:c>
      <x:c r="E40" s="81" t="n">
        <x:v>2896</x:v>
      </x:c>
      <x:c r="F40" s="81" t="n">
        <x:v>2714</x:v>
      </x:c>
      <x:c r="G40" s="81"/>
      <x:c r="H40" s="81"/>
      <x:c r="I40" s="93" t="str">
        <x:v>2025 10-K p. 39</x:v>
      </x:c>
      <x:c r="J40" s="93" t="str">
        <x:v>https://www.sec.gov/Archives/edgar/data/80424/000008042425000076/pg-20250630.htm</x:v>
      </x:c>
    </x:row>
    <x:row r="41">
      <x:c r="A41" s="93" t="str">
        <x:v>CFO</x:v>
      </x:c>
      <x:c r="B41" s="19" t="str">
        <x:v>Cash Flow from Operating Activities</x:v>
      </x:c>
      <x:c r="C41" s="19" t="str">
        <x:v>$mm</x:v>
      </x:c>
      <x:c r="D41" s="81" t="n">
        <x:v>17817</x:v>
      </x:c>
      <x:c r="E41" s="81" t="n">
        <x:v>19846</x:v>
      </x:c>
      <x:c r="F41" s="81" t="n">
        <x:v>16848</x:v>
      </x:c>
      <x:c r="G41" s="81"/>
      <x:c r="H41" s="81"/>
      <x:c r="I41" s="93" t="str">
        <x:v>2025 10-K p. 39</x:v>
      </x:c>
      <x:c r="J41" s="93" t="str">
        <x:v>https://www.sec.gov/Archives/edgar/data/80424/000008042425000076/pg-20250630.htm</x:v>
      </x:c>
    </x:row>
    <x:row r="42">
      <x:c r="A42" s="93" t="str">
        <x:v>CAPEX</x:v>
      </x:c>
      <x:c r="B42" s="19" t="str">
        <x:v>Capital Expenditures</x:v>
      </x:c>
      <x:c r="C42" s="19" t="str">
        <x:v>$mm</x:v>
      </x:c>
      <x:c r="D42" s="81" t="n">
        <x:v>-3773</x:v>
      </x:c>
      <x:c r="E42" s="81" t="n">
        <x:v>-3322</x:v>
      </x:c>
      <x:c r="F42" s="81" t="n">
        <x:v>-3062</x:v>
      </x:c>
      <x:c r="G42" s="81"/>
      <x:c r="H42" s="81"/>
      <x:c r="I42" s="93" t="str">
        <x:v>2025 10-K p. 39</x:v>
      </x:c>
      <x:c r="J42" s="93" t="str">
        <x:v>https://www.sec.gov/Archives/edgar/data/80424/000008042425000076/pg-20250630.htm</x:v>
      </x:c>
    </x:row>
    <x:row r="43">
      <x:c r="A43" s="93" t="str">
        <x:v>CHANGE_AR</x:v>
      </x:c>
      <x:c r="B43" s="19" t="str">
        <x:v>Cash Flow Effect: Change in Accounts Receivable</x:v>
      </x:c>
      <x:c r="C43" s="19" t="str">
        <x:v>$mm</x:v>
      </x:c>
      <x:c r="D43" s="81" t="n">
        <x:v>45</x:v>
      </x:c>
      <x:c r="E43" s="81" t="n">
        <x:v>-766</x:v>
      </x:c>
      <x:c r="F43" s="81" t="n">
        <x:v>-307</x:v>
      </x:c>
      <x:c r="G43" s="81"/>
      <x:c r="H43" s="81"/>
      <x:c r="I43" s="93" t="str">
        <x:v>2025 10-K p. 39</x:v>
      </x:c>
      <x:c r="J43" s="93" t="str">
        <x:v>https://www.sec.gov/Archives/edgar/data/80424/000008042425000076/pg-20250630.htm</x:v>
      </x:c>
    </x:row>
    <x:row r="44">
      <x:c r="A44" s="93" t="str">
        <x:v>CHANGE_INVENTORY</x:v>
      </x:c>
      <x:c r="B44" s="19" t="str">
        <x:v>Cash Flow Effect: Change in Inventories</x:v>
      </x:c>
      <x:c r="C44" s="19" t="str">
        <x:v>$mm</x:v>
      </x:c>
      <x:c r="D44" s="81" t="n">
        <x:v>-324</x:v>
      </x:c>
      <x:c r="E44" s="81" t="n">
        <x:v>-70</x:v>
      </x:c>
      <x:c r="F44" s="81" t="n">
        <x:v>-119</x:v>
      </x:c>
      <x:c r="G44" s="81"/>
      <x:c r="H44" s="81"/>
      <x:c r="I44" s="93" t="str">
        <x:v>2025 10-K p. 39</x:v>
      </x:c>
      <x:c r="J44" s="93" t="str">
        <x:v>https://www.sec.gov/Archives/edgar/data/80424/000008042425000076/pg-20250630.htm</x:v>
      </x:c>
    </x:row>
    <x:row r="45">
      <x:c r="A45" s="93" t="str">
        <x:v>CHANGE_AP</x:v>
      </x:c>
      <x:c r="B45" s="19" t="str">
        <x:v>Cash Flow Effect: Change in Accounts Payable</x:v>
      </x:c>
      <x:c r="C45" s="19" t="str">
        <x:v>$mm</x:v>
      </x:c>
      <x:c r="D45" s="81" t="n">
        <x:v>-542</x:v>
      </x:c>
      <x:c r="E45" s="81" t="n">
        <x:v>878</x:v>
      </x:c>
      <x:c r="F45" s="81" t="n">
        <x:v>-447</x:v>
      </x:c>
      <x:c r="G45" s="81"/>
      <x:c r="H45" s="81"/>
      <x:c r="I45" s="93" t="str">
        <x:v>2025 10-K p. 39</x:v>
      </x:c>
      <x:c r="J45" s="93" t="str">
        <x:v>https://www.sec.gov/Archives/edgar/data/80424/000008042425000076/pg-20250630.htm</x:v>
      </x:c>
    </x:row>
    <x:row r="46">
      <x:c r="A46" s="93" t="str">
        <x:v>TAX_ACT_PAYMENT</x:v>
      </x:c>
      <x:c r="B46" s="19" t="str">
        <x:v>2017 U.S. Tax Act Payment Added Back by P&amp;G</x:v>
      </x:c>
      <x:c r="C46" s="19" t="str">
        <x:v>$mm</x:v>
      </x:c>
      <x:c r="D46" s="81" t="n">
        <x:v>562</x:v>
      </x:c>
      <x:c r="E46" s="81" t="n">
        <x:v>422</x:v>
      </x:c>
      <x:c r="F46" s="81"/>
      <x:c r="G46" s="81"/>
      <x:c r="H46" s="81"/>
      <x:c r="I46" s="93" t="str">
        <x:v>2025 10-K p. 30</x:v>
      </x:c>
      <x:c r="J46" s="93" t="str">
        <x:v>https://www.sec.gov/Archives/edgar/data/80424/000008042425000076/pg-20250630.htm</x:v>
      </x:c>
    </x:row>
    <x:row r="47">
      <x:c r="A47" s="93" t="str">
        <x:v>ADJUSTED_FCF</x:v>
      </x:c>
      <x:c r="B47" s="19" t="str">
        <x:v>P&amp;G Adjusted Free Cash Flow</x:v>
      </x:c>
      <x:c r="C47" s="19" t="str">
        <x:v>$mm</x:v>
      </x:c>
      <x:c r="D47" s="81" t="n">
        <x:v>14606</x:v>
      </x:c>
      <x:c r="E47" s="81" t="n">
        <x:v>16946</x:v>
      </x:c>
      <x:c r="F47" s="81"/>
      <x:c r="G47" s="81"/>
      <x:c r="H47" s="81"/>
      <x:c r="I47" s="93" t="str">
        <x:v>2025 10-K p. 30 (non-GAAP)</x:v>
      </x:c>
      <x:c r="J47" s="93" t="str">
        <x:v>https://www.sec.gov/Archives/edgar/data/80424/000008042425000076/pg-20250630.htm</x:v>
      </x:c>
    </x:row>
  </x:sheetData>
  <x:mergeCells>
    <x:mergeCell ref="A1:J1"/>
    <x:mergeCell ref="A2:J2"/>
    <x:mergeCell ref="A3:J3"/>
    <x:mergeCell ref="A6:J6"/>
    <x:mergeCell ref="A23:J23"/>
    <x:mergeCell ref="A39:J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3" t="str">
        <x:v>P&amp;G Common-Size Income Statement</x:v>
      </x:c>
      <x:c r="B1" s="3"/>
      <x:c r="C1" s="3"/>
      <x:c r="D1" s="3"/>
      <x:c r="E1" s="3"/>
      <x:c r="F1" s="3"/>
    </x:row>
    <x:row r="2">
      <x:c r="A2" s="56" t="str">
        <x:v>Each amount is expressed as a percentage of net sales. Basis-point change = FY2025 margin - FY2024 margin.</x:v>
      </x:c>
      <x:c r="B2" s="56"/>
      <x:c r="C2" s="56"/>
      <x:c r="D2" s="56"/>
      <x:c r="E2" s="56"/>
      <x:c r="F2" s="56"/>
    </x:row>
    <x:row r="4">
      <x:c r="A4" s="25" t="str">
        <x:v>Metric</x:v>
      </x:c>
      <x:c r="B4" s="25" t="str">
        <x:v>FY2025 ($mm)</x:v>
      </x:c>
      <x:c r="C4" s="25" t="str">
        <x:v>FY2025 % Sales</x:v>
      </x:c>
      <x:c r="D4" s="25" t="str">
        <x:v>FY2024 ($mm)</x:v>
      </x:c>
      <x:c r="E4" s="25" t="str">
        <x:v>FY2024 % Sales</x:v>
      </x:c>
      <x:c r="F4" s="25" t="str">
        <x:v>Change (bps)</x:v>
      </x:c>
    </x:row>
    <x:row r="5">
      <x:c r="A5" t="str">
        <x:v>Net Sales</x:v>
      </x:c>
      <x:c r="B5" s="98" t="n">
        <x:f>'01_Input'!D7</x:f>
        <x:v>84284</x:v>
      </x:c>
      <x:c r="C5" s="100" t="n">
        <x:f>B5/$B$5</x:f>
        <x:v>1</x:v>
      </x:c>
      <x:c r="D5" s="98" t="n">
        <x:f>'01_Input'!E7</x:f>
        <x:v>84039</x:v>
      </x:c>
      <x:c r="E5" s="100" t="n">
        <x:f>D5/$D$5</x:f>
        <x:v>1</x:v>
      </x:c>
      <x:c r="F5" s="102" t="n">
        <x:f>(C5-E5)*10000</x:f>
        <x:v>0</x:v>
      </x:c>
    </x:row>
    <x:row r="6">
      <x:c r="A6" t="str">
        <x:v>Cost of Products Sold</x:v>
      </x:c>
      <x:c r="B6" s="98" t="n">
        <x:f>'01_Input'!D8</x:f>
        <x:v>41164</x:v>
      </x:c>
      <x:c r="C6" s="100" t="n">
        <x:f>B6/$B$5</x:f>
        <x:v>0.4883963741635423</x:v>
      </x:c>
      <x:c r="D6" s="98" t="n">
        <x:f>'01_Input'!E8</x:f>
        <x:v>40848</x:v>
      </x:c>
      <x:c r="E6" s="100" t="n">
        <x:f>D6/$D$5</x:f>
        <x:v>0.48606004355120835</x:v>
      </x:c>
      <x:c r="F6" s="102" t="n">
        <x:f>(C6-E6)*10000</x:f>
        <x:v>23.36330612333959</x:v>
      </x:c>
    </x:row>
    <x:row r="7">
      <x:c r="A7" t="str">
        <x:v>Gross Profit</x:v>
      </x:c>
      <x:c r="B7" s="98" t="n">
        <x:f>'01_Input'!D9</x:f>
        <x:v>43120</x:v>
      </x:c>
      <x:c r="C7" s="100" t="n">
        <x:f>B7/$B$5</x:f>
        <x:v>0.5116036258364577</x:v>
      </x:c>
      <x:c r="D7" s="98" t="n">
        <x:f>'01_Input'!E9</x:f>
        <x:v>43191</x:v>
      </x:c>
      <x:c r="E7" s="100" t="n">
        <x:f>D7/$D$5</x:f>
        <x:v>0.5139399564487916</x:v>
      </x:c>
      <x:c r="F7" s="102" t="n">
        <x:f>(C7-E7)*10000</x:f>
        <x:v>-23.36330612333959</x:v>
      </x:c>
    </x:row>
    <x:row r="8">
      <x:c r="A8" t="str">
        <x:v>SG&amp;A</x:v>
      </x:c>
      <x:c r="B8" s="98" t="n">
        <x:f>'01_Input'!D10</x:f>
        <x:v>22669</x:v>
      </x:c>
      <x:c r="C8" s="100" t="n">
        <x:f>B8/$B$5</x:f>
        <x:v>0.26895970765507093</x:v>
      </x:c>
      <x:c r="D8" s="98" t="n">
        <x:f>'01_Input'!E10</x:f>
        <x:v>23305</x:v>
      </x:c>
      <x:c r="E8" s="100" t="n">
        <x:f>D8/$D$5</x:f>
        <x:v>0.2773117243184712</x:v>
      </x:c>
      <x:c r="F8" s="102" t="n">
        <x:f>(C8-E8)*10000</x:f>
        <x:v>-83.52016663400241</x:v>
      </x:c>
    </x:row>
    <x:row r="9">
      <x:c r="A9" t="str">
        <x:v>Impairment Charge</x:v>
      </x:c>
      <x:c r="B9" s="98" t="n">
        <x:f>'01_Input'!D11</x:f>
        <x:v>0</x:v>
      </x:c>
      <x:c r="C9" s="100" t="n">
        <x:f>B9/$B$5</x:f>
        <x:v>0</x:v>
      </x:c>
      <x:c r="D9" s="98" t="n">
        <x:f>'01_Input'!E11</x:f>
        <x:v>1341</x:v>
      </x:c>
      <x:c r="E9" s="100" t="n">
        <x:f>D9/$D$5</x:f>
        <x:v>0.015956877164173777</x:v>
      </x:c>
      <x:c r="F9" s="102" t="n">
        <x:f>(C9-E9)*10000</x:f>
        <x:v>-159.56877164173775</x:v>
      </x:c>
    </x:row>
    <x:row r="10">
      <x:c r="A10" t="str">
        <x:v>Operating Income (EBIT)</x:v>
      </x:c>
      <x:c r="B10" s="98" t="n">
        <x:f>'01_Input'!D12</x:f>
        <x:v>20451</x:v>
      </x:c>
      <x:c r="C10" s="100" t="n">
        <x:f>B10/$B$5</x:f>
        <x:v>0.24264391818138675</x:v>
      </x:c>
      <x:c r="D10" s="98" t="n">
        <x:f>'01_Input'!E12</x:f>
        <x:v>18545</x:v>
      </x:c>
      <x:c r="E10" s="100" t="n">
        <x:f>D10/$D$5</x:f>
        <x:v>0.22067135496614668</x:v>
      </x:c>
      <x:c r="F10" s="102" t="n">
        <x:f>(C10-E10)*10000</x:f>
        <x:v>219.72563215240075</x:v>
      </x:c>
    </x:row>
    <x:row r="11">
      <x:c r="A11" t="str">
        <x:v>Earnings Before Income Taxes</x:v>
      </x:c>
      <x:c r="B11" s="98" t="n">
        <x:f>'01_Input'!D16</x:f>
        <x:v>20167</x:v>
      </x:c>
      <x:c r="C11" s="100" t="n">
        <x:f>B11/$B$5</x:f>
        <x:v>0.23927435812253808</x:v>
      </x:c>
      <x:c r="D11" s="98" t="n">
        <x:f>'01_Input'!E16</x:f>
        <x:v>18761</x:v>
      </x:c>
      <x:c r="E11" s="100" t="n">
        <x:f>D11/$D$5</x:f>
        <x:v>0.22324159021406728</x:v>
      </x:c>
      <x:c r="F11" s="102" t="n">
        <x:f>(C11-E11)*10000</x:f>
        <x:v>160.32767908470802</x:v>
      </x:c>
    </x:row>
    <x:row r="12">
      <x:c r="A12" t="str">
        <x:v>Income Taxes</x:v>
      </x:c>
      <x:c r="B12" s="98" t="n">
        <x:f>'01_Input'!D17</x:f>
        <x:v>4102</x:v>
      </x:c>
      <x:c r="C12" s="100" t="n">
        <x:f>B12/$B$5</x:f>
        <x:v>0.04866878648379289</x:v>
      </x:c>
      <x:c r="D12" s="98" t="n">
        <x:f>'01_Input'!E17</x:f>
        <x:v>3787</x:v>
      </x:c>
      <x:c r="E12" s="100" t="n">
        <x:f>D12/$D$5</x:f>
        <x:v>0.04506241149942289</x:v>
      </x:c>
      <x:c r="F12" s="102" t="n">
        <x:f>(C12-E12)*10000</x:f>
        <x:v>36.063749843700045</x:v>
      </x:c>
    </x:row>
    <x:row r="13">
      <x:c r="A13" t="str">
        <x:v>Net Earnings</x:v>
      </x:c>
      <x:c r="B13" s="98" t="n">
        <x:f>'01_Input'!D18</x:f>
        <x:v>16065</x:v>
      </x:c>
      <x:c r="C13" s="100" t="n">
        <x:f>B13/$B$5</x:f>
        <x:v>0.1906055716387452</x:v>
      </x:c>
      <x:c r="D13" s="98" t="n">
        <x:f>'01_Input'!E18</x:f>
        <x:v>14974</x:v>
      </x:c>
      <x:c r="E13" s="100" t="n">
        <x:f>D13/$D$5</x:f>
        <x:v>0.1781791787146444</x:v>
      </x:c>
      <x:c r="F13" s="102" t="n">
        <x:f>(C13-E13)*10000</x:f>
        <x:v>124.26392924100804</x:v>
      </x:c>
    </x:row>
    <x:row r="15">
      <x:c r="A15" s="25" t="str">
        <x:v>Interpretation Prompts</x:v>
      </x:c>
      <x:c r="B15" s="25"/>
      <x:c r="C15" s="25"/>
      <x:c r="D15" s="25"/>
      <x:c r="E15" s="25"/>
      <x:c r="F15" s="25"/>
    </x:row>
    <x:row r="16" ht="30" customHeight="1">
      <x:c r="A16" s="32" t="str">
        <x:v>1.</x:v>
      </x:c>
      <x:c r="B16" s="19" t="str">
        <x:v>What percentage of each sales dollar remained after cost of products sold?</x:v>
      </x:c>
    </x:row>
    <x:row r="17" ht="30" customHeight="1">
      <x:c r="A17" s="32" t="str">
        <x:v>2.</x:v>
      </x:c>
      <x:c r="B17" s="19" t="str">
        <x:v>Did the operating margin improve or decline from FY2024 to FY2025? By how many basis points?</x:v>
      </x:c>
    </x:row>
    <x:row r="18" ht="30" customHeight="1">
      <x:c r="A18" s="32" t="str">
        <x:v>3.</x:v>
      </x:c>
      <x:c r="B18" s="19" t="str">
        <x:v>Which operating cost line best explains the change in EBIT margin?</x:v>
      </x:c>
    </x:row>
    <x:row r="19" ht="30" customHeight="1">
      <x:c r="A19" s="32" t="str">
        <x:v>4.</x:v>
      </x:c>
      <x:c r="B19" s="19" t="str">
        <x:v>Why should the FY2024 impairment charge not be treated as a recurring cash expense?</x:v>
      </x:c>
    </x:row>
  </x:sheetData>
  <x:mergeCells>
    <x:mergeCell ref="A1:F1"/>
    <x:mergeCell ref="A2:F2"/>
    <x:mergeCell ref="A15:F15"/>
    <x:mergeCell ref="B16:F16"/>
    <x:mergeCell ref="B17:F17"/>
    <x:mergeCell ref="B18:F18"/>
    <x:mergeCell ref="B19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  <x:col min="3" max="3" width="18" hidden="0" customWidth="1"/>
    <x:col min="4" max="4" width="21" hidden="0" customWidth="1"/>
    <x:col min="5" max="5" width="31" hidden="0" customWidth="1"/>
    <x:col min="6" max="6" width="12" hidden="0" customWidth="1"/>
  </x:cols>
  <x:sheetData>
    <x:row r="1" ht="30" customHeight="1">
      <x:c r="A1" s="3" t="str">
        <x:v>P&amp;G FY2025 Free Cash Flow Analysis and Reconciliation</x:v>
      </x:c>
      <x:c r="B1" s="3"/>
      <x:c r="C1" s="3"/>
      <x:c r="D1" s="3"/>
      <x:c r="E1" s="3"/>
      <x:c r="F1" s="3"/>
    </x:row>
    <x:row r="2">
      <x:c r="A2" s="56" t="str">
        <x:v>Textbook FCF is reconciled to cash FCF and P&amp;G's company-defined adjusted FCF. The residual is an audit finding, not an error.</x:v>
      </x:c>
      <x:c r="B2" s="56"/>
      <x:c r="C2" s="56"/>
      <x:c r="D2" s="56"/>
      <x:c r="E2" s="56"/>
      <x:c r="F2" s="56"/>
    </x:row>
    <x:row r="4">
      <x:c r="A4" s="25" t="str">
        <x:v>Component</x:v>
      </x:c>
      <x:c r="B4" s="25" t="str">
        <x:v>Formula / Definition</x:v>
      </x:c>
      <x:c r="C4" s="25" t="str">
        <x:v>FY2025 Value</x:v>
      </x:c>
      <x:c r="D4" s="25" t="str">
        <x:v>Waterfall Sign</x:v>
      </x:c>
      <x:c r="E4" s="25" t="str">
        <x:v>Source / Audit Note</x:v>
      </x:c>
      <x:c r="F4" s="25" t="str">
        <x:v>Status</x:v>
      </x:c>
    </x:row>
    <x:row r="5">
      <x:c r="A5" s="19" t="str">
        <x:v>EBIT</x:v>
      </x:c>
      <x:c r="B5" s="19" t="str">
        <x:v>Operating income</x:v>
      </x:c>
      <x:c r="C5" s="106" t="n">
        <x:f>'01_Input'!D12</x:f>
        <x:v>20451</x:v>
      </x:c>
      <x:c r="D5" s="19" t="str">
        <x:v>Absolute</x:v>
      </x:c>
      <x:c r="E5" s="19" t="str">
        <x:v>10-K p. 36</x:v>
      </x:c>
      <x:c r="F5" s="19" t="str">
        <x:f>"OK"</x:f>
        <x:v>OK</x:v>
      </x:c>
    </x:row>
    <x:row r="6">
      <x:c r="A6" s="19" t="str">
        <x:v>Effective Tax Rate</x:v>
      </x:c>
      <x:c r="B6" s="19" t="str">
        <x:v>Income taxes / EBT</x:v>
      </x:c>
      <x:c r="C6" s="107" t="n">
        <x:f>'01_Input'!D17/'01_Input'!D16</x:f>
        <x:v>0.20340159666782368</x:v>
      </x:c>
      <x:c r="D6" s="19" t="str">
        <x:v>Rate</x:v>
      </x:c>
      <x:c r="E6" s="19" t="str">
        <x:v>Taxes / EBT</x:v>
      </x:c>
      <x:c r="F6" s="19" t="str">
        <x:f>"OK"</x:f>
        <x:v>OK</x:v>
      </x:c>
    </x:row>
    <x:row r="7">
      <x:c r="A7" s="19" t="str">
        <x:v>Tax on EBIT</x:v>
      </x:c>
      <x:c r="B7" s="19" t="str">
        <x:v>-EBIT × effective tax rate</x:v>
      </x:c>
      <x:c r="C7" s="83" t="n">
        <x:f> -C5*C6</x:f>
        <x:v>-4159.766053453662</x:v>
      </x:c>
      <x:c r="D7" s="19" t="str">
        <x:v>Negative</x:v>
      </x:c>
      <x:c r="E7" s="19" t="str">
        <x:v>Calculated</x:v>
      </x:c>
      <x:c r="F7" s="19" t="str">
        <x:f>"OK"</x:f>
        <x:v>OK</x:v>
      </x:c>
    </x:row>
    <x:row r="8">
      <x:c r="A8" s="19" t="str">
        <x:v>NOPAT</x:v>
      </x:c>
      <x:c r="B8" s="19" t="str">
        <x:v>EBIT × (1 - tax rate)</x:v>
      </x:c>
      <x:c r="C8" s="83" t="n">
        <x:f>C5+C7</x:f>
        <x:v>16291.233946546337</x:v>
      </x:c>
      <x:c r="D8" s="19" t="str">
        <x:v>Subtotal</x:v>
      </x:c>
      <x:c r="E8" s="19" t="str">
        <x:v>Calculated</x:v>
      </x:c>
      <x:c r="F8" s="19" t="str">
        <x:f>"OK"</x:f>
        <x:v>OK</x:v>
      </x:c>
    </x:row>
    <x:row r="9">
      <x:c r="A9" s="19" t="str">
        <x:v>Depreciation &amp; Amortization</x:v>
      </x:c>
      <x:c r="B9" s="19" t="str">
        <x:v>Noncash add-back</x:v>
      </x:c>
      <x:c r="C9" s="106" t="n">
        <x:f>'01_Input'!D40</x:f>
        <x:v>2847</x:v>
      </x:c>
      <x:c r="D9" s="19" t="str">
        <x:v>Positive</x:v>
      </x:c>
      <x:c r="E9" s="19" t="str">
        <x:v>10-K p. 39</x:v>
      </x:c>
      <x:c r="F9" s="19" t="str">
        <x:f>"OK"</x:f>
        <x:v>OK</x:v>
      </x:c>
    </x:row>
    <x:row r="10">
      <x:c r="A10" s="19" t="str">
        <x:v>Capital Expenditures</x:v>
      </x:c>
      <x:c r="B10" s="19" t="str">
        <x:v>Cash investment; subtract</x:v>
      </x:c>
      <x:c r="C10" s="83" t="n">
        <x:f> -ABS('01_Input'!D42)</x:f>
        <x:v>-3773</x:v>
      </x:c>
      <x:c r="D10" s="19" t="str">
        <x:v>Negative</x:v>
      </x:c>
      <x:c r="E10" s="19" t="str">
        <x:v>10-K p. 39</x:v>
      </x:c>
      <x:c r="F10" s="19" t="str">
        <x:f>"OK"</x:f>
        <x:v>OK</x:v>
      </x:c>
    </x:row>
    <x:row r="11">
      <x:c r="A11" s="19" t="str">
        <x:v>Operating NOWC - FY2025</x:v>
      </x:c>
      <x:c r="B11" s="19" t="str">
        <x:v>AR + Inventory + Prepaids - AP - Accrued Liabilities</x:v>
      </x:c>
      <x:c r="C11" s="83" t="n">
        <x:f>'01_Input'!D25+'01_Input'!D26+'01_Input'!D27-'01_Input'!D31-'01_Input'!D32</x:f>
        <x:v>-10709</x:v>
      </x:c>
      <x:c r="D11" s="19" t="str">
        <x:v>Reference</x:v>
      </x:c>
      <x:c r="E11" s="19" t="str">
        <x:v>Balance sheet</x:v>
      </x:c>
      <x:c r="F11" s="19" t="str">
        <x:f>"OK"</x:f>
        <x:v>OK</x:v>
      </x:c>
    </x:row>
    <x:row r="12">
      <x:c r="A12" s="19" t="str">
        <x:v>Operating NOWC - FY2024</x:v>
      </x:c>
      <x:c r="B12" s="19" t="str">
        <x:v>Same definition using FY2024 balance sheet</x:v>
      </x:c>
      <x:c r="C12" s="83" t="n">
        <x:f>'01_Input'!E25+'01_Input'!E26+'01_Input'!E27-'01_Input'!E31-'01_Input'!E32</x:f>
        <x:v>-11208</x:v>
      </x:c>
      <x:c r="D12" s="19" t="str">
        <x:v>Reference</x:v>
      </x:c>
      <x:c r="E12" s="19" t="str">
        <x:v>Balance sheet</x:v>
      </x:c>
      <x:c r="F12" s="19" t="str">
        <x:f>"OK"</x:f>
        <x:v>OK</x:v>
      </x:c>
    </x:row>
    <x:row r="13">
      <x:c r="A13" s="19" t="str">
        <x:v>Change in Operating NOWC</x:v>
      </x:c>
      <x:c r="B13" s="19" t="str">
        <x:v>FY2025 NOWC - FY2024 NOWC; increase is a use of cash</x:v>
      </x:c>
      <x:c r="C13" s="83" t="n">
        <x:f>C11-C12</x:f>
        <x:v>499</x:v>
      </x:c>
      <x:c r="D13" s="19" t="str">
        <x:v>Negative if increase</x:v>
      </x:c>
      <x:c r="E13" s="19" t="str">
        <x:v>Calculated</x:v>
      </x:c>
      <x:c r="F13" s="19" t="str">
        <x:f>"OK"</x:f>
        <x:v>OK</x:v>
      </x:c>
    </x:row>
    <x:row r="14">
      <x:c r="A14" s="19" t="str">
        <x:v>Textbook Free Cash Flow</x:v>
      </x:c>
      <x:c r="B14" s="19" t="str">
        <x:v>NOPAT + D&amp;A - CapEx - ΔNOWC</x:v>
      </x:c>
      <x:c r="C14" s="83" t="n">
        <x:f>C8+C9+C10-C13</x:f>
        <x:v>14866.233946546337</x:v>
      </x:c>
      <x:c r="D14" s="19" t="str">
        <x:v>Subtotal</x:v>
      </x:c>
      <x:c r="E14" s="19" t="str">
        <x:v>FINC 310 formula</x:v>
      </x:c>
      <x:c r="F14" s="19" t="str">
        <x:f>"OK"</x:f>
        <x:v>OK</x:v>
      </x:c>
    </x:row>
    <x:row r="15">
      <x:c r="A15" s="19" t="str">
        <x:v>Cash Flow from Operations</x:v>
      </x:c>
      <x:c r="B15" s="19" t="str">
        <x:v>Audited cash flow statement</x:v>
      </x:c>
      <x:c r="C15" s="106" t="n">
        <x:f>'01_Input'!D41</x:f>
        <x:v>17817</x:v>
      </x:c>
      <x:c r="D15" s="19" t="str">
        <x:v>Reference</x:v>
      </x:c>
      <x:c r="E15" s="19" t="str">
        <x:v>10-K p. 39</x:v>
      </x:c>
      <x:c r="F15" s="19" t="str">
        <x:f>"OK"</x:f>
        <x:v>OK</x:v>
      </x:c>
    </x:row>
    <x:row r="16">
      <x:c r="A16" s="19" t="str">
        <x:v>Cash Free Cash Flow</x:v>
      </x:c>
      <x:c r="B16" s="19" t="str">
        <x:v>CFO - CapEx</x:v>
      </x:c>
      <x:c r="C16" s="83" t="n">
        <x:f>C15-ABS('01_Input'!D42)</x:f>
        <x:v>14044</x:v>
      </x:c>
      <x:c r="D16" s="19" t="str">
        <x:v>Subtotal</x:v>
      </x:c>
      <x:c r="E16" s="19" t="str">
        <x:v>Calculated</x:v>
      </x:c>
      <x:c r="F16" s="19" t="str">
        <x:f>"OK"</x:f>
        <x:v>OK</x:v>
      </x:c>
    </x:row>
    <x:row r="17">
      <x:c r="A17" s="19" t="str">
        <x:v>Other Operating Adjustments</x:v>
      </x:c>
      <x:c r="B17" s="19" t="str">
        <x:v>Cash FCF - Textbook FCF</x:v>
      </x:c>
      <x:c r="C17" s="83" t="n">
        <x:f>C16-C14</x:f>
        <x:v>-822.2339465463374</x:v>
      </x:c>
      <x:c r="D17" s="19" t="str">
        <x:v>Bridge</x:v>
      </x:c>
      <x:c r="E17" s="19" t="str">
        <x:v>Residual to audited CFO</x:v>
      </x:c>
      <x:c r="F17" s="19" t="str">
        <x:f>"OK"</x:f>
        <x:v>OK</x:v>
      </x:c>
    </x:row>
    <x:row r="18">
      <x:c r="A18" s="19" t="str">
        <x:v>2017 U.S. Tax Act Payment Add-back</x:v>
      </x:c>
      <x:c r="B18" s="19" t="str">
        <x:v>P&amp;G non-GAAP adjustment</x:v>
      </x:c>
      <x:c r="C18" s="106" t="n">
        <x:f>'01_Input'!D46</x:f>
        <x:v>562</x:v>
      </x:c>
      <x:c r="D18" s="19" t="str">
        <x:v>Positive</x:v>
      </x:c>
      <x:c r="E18" s="19" t="str">
        <x:v>10-K p. 30</x:v>
      </x:c>
      <x:c r="F18" s="19" t="str">
        <x:f>"OK"</x:f>
        <x:v>OK</x:v>
      </x:c>
    </x:row>
    <x:row r="19">
      <x:c r="A19" s="19" t="str">
        <x:v>P&amp;G Adjusted Free Cash Flow</x:v>
      </x:c>
      <x:c r="B19" s="19" t="str">
        <x:v>Cash FCF + Tax Act payment add-back</x:v>
      </x:c>
      <x:c r="C19" s="83" t="n">
        <x:f>C16+C18</x:f>
        <x:v>14606</x:v>
      </x:c>
      <x:c r="D19" s="19" t="str">
        <x:v>Total</x:v>
      </x:c>
      <x:c r="E19" s="19" t="str">
        <x:v>10-K p. 30</x:v>
      </x:c>
      <x:c r="F19" s="19" t="str">
        <x:f>"OK"</x:f>
        <x:v>OK</x:v>
      </x:c>
    </x:row>
    <x:row r="20">
      <x:c r="A20" s="19" t="str">
        <x:v>Reconciliation Difference</x:v>
      </x:c>
      <x:c r="B20" s="19" t="str">
        <x:v>Calculated adjusted FCF - reported adjusted FCF</x:v>
      </x:c>
      <x:c r="C20" s="83" t="n">
        <x:f>C19-'01_Input'!D47</x:f>
        <x:v>0</x:v>
      </x:c>
      <x:c r="D20" s="19" t="str">
        <x:v>Zero</x:v>
      </x:c>
      <x:c r="E20" s="19" t="str">
        <x:v>Must equal zero</x:v>
      </x:c>
      <x:c r="F20" s="19" t="str">
        <x:f>IF(ABS(C20)&lt;=1,"PASS","REVIEW")</x:f>
        <x:v>PASS</x:v>
      </x:c>
    </x:row>
    <x:row r="21">
      <x:c r="A21" s="19"/>
      <x:c r="B21" s="19"/>
      <x:c r="C21" s="19"/>
      <x:c r="D21" s="19"/>
      <x:c r="E21" s="19"/>
      <x:c r="F21" s="19"/>
    </x:row>
    <x:row r="22">
      <x:c r="A22" s="79" t="str">
        <x:v>Waterfall Data Table</x:v>
      </x:c>
      <x:c r="B22" s="79"/>
      <x:c r="C22" s="79"/>
      <x:c r="D22" s="79"/>
      <x:c r="E22" s="79"/>
      <x:c r="F22" s="79"/>
    </x:row>
    <x:row r="23">
      <x:c r="A23" s="79" t="str">
        <x:v>Step</x:v>
      </x:c>
      <x:c r="B23" s="79" t="str">
        <x:v>Measure</x:v>
      </x:c>
      <x:c r="C23" s="79" t="str">
        <x:v>Signed Value ($mm)</x:v>
      </x:c>
      <x:c r="D23" s="19"/>
      <x:c r="E23" s="19"/>
      <x:c r="F23" s="19"/>
    </x:row>
    <x:row r="24">
      <x:c r="A24" s="19" t="str">
        <x:v>EBIT</x:v>
      </x:c>
      <x:c r="B24" s="19" t="str">
        <x:v>Total</x:v>
      </x:c>
      <x:c r="C24" s="83" t="n">
        <x:f>C5</x:f>
        <x:v>20451</x:v>
      </x:c>
      <x:c r="D24" s="19"/>
      <x:c r="E24" s="19"/>
      <x:c r="F24" s="19"/>
    </x:row>
    <x:row r="25">
      <x:c r="A25" s="19" t="str">
        <x:v>Tax on EBIT</x:v>
      </x:c>
      <x:c r="B25" s="19" t="str">
        <x:v>Change</x:v>
      </x:c>
      <x:c r="C25" s="83" t="n">
        <x:f>C7</x:f>
        <x:v>-4159.766053453662</x:v>
      </x:c>
      <x:c r="D25" s="19"/>
      <x:c r="E25" s="19"/>
      <x:c r="F25" s="19"/>
    </x:row>
    <x:row r="26">
      <x:c r="A26" s="19" t="str">
        <x:v>NOPAT</x:v>
      </x:c>
      <x:c r="B26" s="19" t="str">
        <x:v>Total</x:v>
      </x:c>
      <x:c r="C26" s="83" t="n">
        <x:f>C8</x:f>
        <x:v>16291.233946546337</x:v>
      </x:c>
      <x:c r="D26" s="19"/>
      <x:c r="E26" s="19"/>
      <x:c r="F26" s="19"/>
    </x:row>
    <x:row r="27">
      <x:c r="A27" s="19" t="str">
        <x:v>D&amp;A</x:v>
      </x:c>
      <x:c r="B27" s="19" t="str">
        <x:v>Change</x:v>
      </x:c>
      <x:c r="C27" s="83" t="n">
        <x:f>C9</x:f>
        <x:v>2847</x:v>
      </x:c>
      <x:c r="D27" s="19"/>
      <x:c r="E27" s="19"/>
      <x:c r="F27" s="19"/>
    </x:row>
    <x:row r="28">
      <x:c r="A28" s="19" t="str">
        <x:v>Capital Expenditures</x:v>
      </x:c>
      <x:c r="B28" s="19" t="str">
        <x:v>Change</x:v>
      </x:c>
      <x:c r="C28" s="83" t="n">
        <x:f>C10</x:f>
        <x:v>-3773</x:v>
      </x:c>
      <x:c r="D28" s="19"/>
      <x:c r="E28" s="19"/>
      <x:c r="F28" s="19"/>
    </x:row>
    <x:row r="29">
      <x:c r="A29" s="19" t="str">
        <x:v>Increase in NOWC</x:v>
      </x:c>
      <x:c r="B29" s="19" t="str">
        <x:v>Change</x:v>
      </x:c>
      <x:c r="C29" s="83" t="n">
        <x:f>-C13</x:f>
        <x:v>-499</x:v>
      </x:c>
      <x:c r="D29" s="19"/>
      <x:c r="E29" s="19"/>
      <x:c r="F29" s="19"/>
    </x:row>
    <x:row r="30">
      <x:c r="A30" s="19" t="str">
        <x:v>Textbook FCF</x:v>
      </x:c>
      <x:c r="B30" s="19" t="str">
        <x:v>Total</x:v>
      </x:c>
      <x:c r="C30" s="83" t="n">
        <x:f>C14</x:f>
        <x:v>14866.233946546337</x:v>
      </x:c>
      <x:c r="D30" s="19"/>
      <x:c r="E30" s="19"/>
      <x:c r="F30" s="19"/>
    </x:row>
    <x:row r="31">
      <x:c r="A31" s="19" t="str">
        <x:v>Other Operating Adjustments</x:v>
      </x:c>
      <x:c r="B31" s="19" t="str">
        <x:v>Change</x:v>
      </x:c>
      <x:c r="C31" s="83" t="n">
        <x:f>C17</x:f>
        <x:v>-822.2339465463374</x:v>
      </x:c>
      <x:c r="D31" s="19"/>
      <x:c r="E31" s="19"/>
      <x:c r="F31" s="19"/>
    </x:row>
    <x:row r="32">
      <x:c r="A32" s="19" t="str">
        <x:v>Cash FCF</x:v>
      </x:c>
      <x:c r="B32" s="19" t="str">
        <x:v>Total</x:v>
      </x:c>
      <x:c r="C32" s="83" t="n">
        <x:f>C16</x:f>
        <x:v>14044</x:v>
      </x:c>
      <x:c r="D32" s="19"/>
      <x:c r="E32" s="19"/>
      <x:c r="F32" s="19"/>
    </x:row>
    <x:row r="33">
      <x:c r="A33" s="19" t="str">
        <x:v>2017 Tax Act Payment Add-back</x:v>
      </x:c>
      <x:c r="B33" s="19" t="str">
        <x:v>Change</x:v>
      </x:c>
      <x:c r="C33" s="83" t="n">
        <x:f>C18</x:f>
        <x:v>562</x:v>
      </x:c>
      <x:c r="D33" s="19"/>
      <x:c r="E33" s="19"/>
      <x:c r="F33" s="19"/>
    </x:row>
    <x:row r="34">
      <x:c r="A34" s="19" t="str">
        <x:v>P&amp;G Adjusted FCF</x:v>
      </x:c>
      <x:c r="B34" s="19" t="str">
        <x:v>Total</x:v>
      </x:c>
      <x:c r="C34" s="83" t="n">
        <x:f>C19</x:f>
        <x:v>14606</x:v>
      </x:c>
      <x:c r="D34" s="19"/>
      <x:c r="E34" s="19"/>
      <x:c r="F34" s="19"/>
    </x:row>
  </x:sheetData>
  <x:mergeCells>
    <x:mergeCell ref="A1:F1"/>
    <x:mergeCell ref="A2:F2"/>
    <x:mergeCell ref="A22:F22"/>
  </x:mergeCells>
  <x:conditionalFormatting sqref="F20:F20">
    <x:cfRule type="expression" dxfId="3" priority="1">
      <x:formula>F20="PASS"</x:formula>
    </x:cfRule>
    <x:cfRule type="expression" dxfId="4" priority="2">
      <x:formula>F20="REVIEW"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17" hidden="0" customWidth="1"/>
    <x:col min="5" max="5" width="17" hidden="0" customWidth="1"/>
    <x:col min="6" max="6" width="46" hidden="0" customWidth="1"/>
  </x:cols>
  <x:sheetData>
    <x:row r="1" ht="30" customHeight="1">
      <x:c r="A1" s="3" t="str">
        <x:v>P&amp;G FY2025 DuPont ROE Decomposition</x:v>
      </x:c>
      <x:c r="B1" s="3"/>
      <x:c r="C1" s="3"/>
      <x:c r="D1" s="3"/>
      <x:c r="E1" s="3"/>
      <x:c r="F1" s="3"/>
    </x:row>
    <x:row r="2">
      <x:c r="A2" s="56" t="str">
        <x:v>ROE = Profit Margin × Total Asset Turnover × Equity Multiplier. Average balances use FY2024 and FY2025.</x:v>
      </x:c>
      <x:c r="B2" s="56"/>
      <x:c r="C2" s="56"/>
      <x:c r="D2" s="56"/>
      <x:c r="E2" s="56"/>
      <x:c r="F2" s="56"/>
    </x:row>
    <x:row r="4">
      <x:c r="A4" s="25" t="str">
        <x:v>Metric</x:v>
      </x:c>
      <x:c r="B4" s="25" t="str">
        <x:v>Numerator</x:v>
      </x:c>
      <x:c r="C4" s="25" t="str">
        <x:v>Denominator</x:v>
      </x:c>
      <x:c r="D4" s="25" t="str">
        <x:v>Result</x:v>
      </x:c>
      <x:c r="E4" s="25" t="str">
        <x:v>Direct Check</x:v>
      </x:c>
      <x:c r="F4" s="25" t="str">
        <x:v>Interpretation</x:v>
      </x:c>
    </x:row>
    <x:row r="5">
      <x:c r="A5" t="str">
        <x:v>Profit Margin</x:v>
      </x:c>
      <x:c r="B5" t="n">
        <x:f>B13</x:f>
        <x:v>16065</x:v>
      </x:c>
      <x:c r="C5" t="n">
        <x:f>B12</x:f>
        <x:v>84284</x:v>
      </x:c>
      <x:c r="D5" s="100" t="n">
        <x:f>B5/C5</x:f>
        <x:v>0.1906055716387452</x:v>
      </x:c>
      <x:c r="E5" t="str"/>
      <x:c r="F5" t="str">
        <x:v>Profit retained from each sales dollar.</x:v>
      </x:c>
    </x:row>
    <x:row r="6">
      <x:c r="A6" t="str">
        <x:v>Total Asset Turnover</x:v>
      </x:c>
      <x:c r="B6" t="n">
        <x:f>B12</x:f>
        <x:v>84284</x:v>
      </x:c>
      <x:c r="C6" t="n">
        <x:f>B16</x:f>
        <x:v>123800.5</x:v>
      </x:c>
      <x:c r="D6" s="110" t="n">
        <x:f>B6/C6</x:f>
        <x:v>0.6808050048263133</x:v>
      </x:c>
      <x:c r="E6" t="str"/>
      <x:c r="F6" t="str">
        <x:v>Sales generated per dollar of assets.</x:v>
      </x:c>
    </x:row>
    <x:row r="7">
      <x:c r="A7" t="str">
        <x:v>Equity Multiplier</x:v>
      </x:c>
      <x:c r="B7" t="n">
        <x:f>B16</x:f>
        <x:v>123800.5</x:v>
      </x:c>
      <x:c r="C7" t="n">
        <x:f>B19</x:f>
        <x:v>51421.5</x:v>
      </x:c>
      <x:c r="D7" s="110" t="n">
        <x:f>B7/C7</x:f>
        <x:v>2.407562984354793</x:v>
      </x:c>
      <x:c r="E7" t="str"/>
      <x:c r="F7" t="str">
        <x:v>Financial leverage applied to equity.</x:v>
      </x:c>
    </x:row>
    <x:row r="8">
      <x:c r="A8" t="str">
        <x:v>Return on Equity</x:v>
      </x:c>
      <x:c r="B8" t="str">
        <x:v>Product of three factors</x:v>
      </x:c>
      <x:c r="C8" t="str"/>
      <x:c r="D8" s="100" t="n">
        <x:f>D5*D6*D7</x:f>
        <x:v>0.312417957469152</x:v>
      </x:c>
      <x:c r="E8" s="100" t="n">
        <x:f>B13/B19</x:f>
        <x:v>0.312417957469152</x:v>
      </x:c>
      <x:c r="F8" t="str">
        <x:v>Return generated on average shareholders' equity.</x:v>
      </x:c>
    </x:row>
    <x:row r="11">
      <x:c r="A11" s="25" t="str">
        <x:v>Calculation Inputs</x:v>
      </x:c>
      <x:c r="B11" s="25"/>
      <x:c r="C11" s="25"/>
      <x:c r="D11" s="25"/>
    </x:row>
    <x:row r="12">
      <x:c r="A12" t="str">
        <x:v>Net Sales</x:v>
      </x:c>
      <x:c r="B12" s="98" t="n">
        <x:f>'01_Input'!D7</x:f>
        <x:v>84284</x:v>
      </x:c>
    </x:row>
    <x:row r="13">
      <x:c r="A13" t="str">
        <x:v>Net Earnings</x:v>
      </x:c>
      <x:c r="B13" s="98" t="n">
        <x:f>'01_Input'!D18</x:f>
        <x:v>16065</x:v>
      </x:c>
    </x:row>
    <x:row r="14">
      <x:c r="A14" t="str">
        <x:v>Total Assets FY2025</x:v>
      </x:c>
      <x:c r="B14" s="98" t="n">
        <x:f>'01_Input'!D30</x:f>
        <x:v>125231</x:v>
      </x:c>
    </x:row>
    <x:row r="15">
      <x:c r="A15" t="str">
        <x:v>Total Assets FY2024</x:v>
      </x:c>
      <x:c r="B15" s="98" t="n">
        <x:f>'01_Input'!E30</x:f>
        <x:v>122370</x:v>
      </x:c>
    </x:row>
    <x:row r="16">
      <x:c r="A16" t="str">
        <x:v>Average Total Assets</x:v>
      </x:c>
      <x:c r="B16" s="67" t="n">
        <x:f>AVERAGE(B14:B15)</x:f>
        <x:v>123800.5</x:v>
      </x:c>
    </x:row>
    <x:row r="17">
      <x:c r="A17" t="str">
        <x:v>Total Equity FY2025</x:v>
      </x:c>
      <x:c r="B17" s="98" t="n">
        <x:f>'01_Input'!D37</x:f>
        <x:v>52284</x:v>
      </x:c>
    </x:row>
    <x:row r="18">
      <x:c r="A18" t="str">
        <x:v>Total Equity FY2024</x:v>
      </x:c>
      <x:c r="B18" s="98" t="n">
        <x:f>'01_Input'!E37</x:f>
        <x:v>50559</x:v>
      </x:c>
    </x:row>
    <x:row r="19">
      <x:c r="A19" t="str">
        <x:v>Average Total Equity</x:v>
      </x:c>
      <x:c r="B19" s="67" t="n">
        <x:f>AVERAGE(B17:B18)</x:f>
        <x:v>51421.5</x:v>
      </x:c>
    </x:row>
    <x:row r="21">
      <x:c r="A21" s="25" t="str">
        <x:v>Required Interpretation</x:v>
      </x:c>
      <x:c r="B21" s="25"/>
      <x:c r="C21" s="25"/>
      <x:c r="D21" s="25"/>
      <x:c r="E21" s="25"/>
      <x:c r="F21" s="25"/>
    </x:row>
    <x:row r="22" ht="38" customHeight="1">
      <x:c r="A22" s="32" t="str">
        <x:v>1.</x:v>
      </x:c>
      <x:c r="B22" s="19" t="str">
        <x:v>Which DuPont factor contributes most to P&amp;G's high ROE?</x:v>
      </x:c>
    </x:row>
    <x:row r="23" ht="38" customHeight="1">
      <x:c r="A23" s="32" t="str">
        <x:v>2.</x:v>
      </x:c>
      <x:c r="B23" s="19" t="str">
        <x:v>Why can a high equity multiplier increase both return and financial risk?</x:v>
      </x:c>
    </x:row>
    <x:row r="24" ht="38" customHeight="1">
      <x:c r="A24" s="32" t="str">
        <x:v>3.</x:v>
      </x:c>
      <x:c r="B24" s="19" t="str">
        <x:v>Does the DuPont product equal direct ROE? Document any difference.</x:v>
      </x:c>
    </x:row>
    <x:row r="25" ht="38" customHeight="1">
      <x:c r="A25" s="32" t="str">
        <x:v>4.</x:v>
      </x:c>
      <x:c r="B25" s="19" t="str">
        <x:v>Would using ending assets and equity instead of averages change the answer? Why?</x:v>
      </x:c>
    </x:row>
  </x:sheetData>
  <x:mergeCells>
    <x:mergeCell ref="A1:F1"/>
    <x:mergeCell ref="A2:F2"/>
    <x:mergeCell ref="A11:D11"/>
    <x:mergeCell ref="A21:F21"/>
    <x:mergeCell ref="B22:F22"/>
    <x:mergeCell ref="B23:F23"/>
    <x:mergeCell ref="B24:F24"/>
    <x:mergeCell ref="B25:F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3" hidden="0" customWidth="1"/>
    <x:col min="7" max="7" width="23" hidden="0" customWidth="1"/>
    <x:col min="8" max="8" width="17" hidden="0" customWidth="1"/>
  </x:cols>
  <x:sheetData>
    <x:row r="1" ht="30" customHeight="1">
      <x:c r="A1" s="3" t="str">
        <x:v>P&amp;G Five-Year Net Sales and Diluted EPS Trend</x:v>
      </x:c>
      <x:c r="B1" s="3"/>
      <x:c r="C1" s="3"/>
      <x:c r="D1" s="3"/>
      <x:c r="E1" s="3"/>
      <x:c r="F1" s="3"/>
      <x:c r="G1" s="3"/>
      <x:c r="H1" s="3"/>
    </x:row>
    <x:row r="2">
      <x:c r="A2" s="56" t="str">
        <x:v>FY2021-FY2022 values come from P&amp;G's FY2022 Form 10-K; FY2023-FY2025 values come from the FY2025 Form 10-K.</x:v>
      </x:c>
      <x:c r="B2" s="56"/>
      <x:c r="C2" s="56"/>
      <x:c r="D2" s="56"/>
      <x:c r="E2" s="56"/>
      <x:c r="F2" s="56"/>
      <x:c r="G2" s="56"/>
      <x:c r="H2" s="56"/>
    </x:row>
    <x:row r="4">
      <x:c r="A4" s="25" t="str">
        <x:v>Fiscal Year</x:v>
      </x:c>
      <x:c r="B4" s="25" t="str">
        <x:v>Net Sales ($mm)</x:v>
      </x:c>
      <x:c r="C4" s="25" t="str">
        <x:v>Sales Growth</x:v>
      </x:c>
      <x:c r="D4" s="25" t="str">
        <x:v>Diluted EPS</x:v>
      </x:c>
      <x:c r="E4" s="25" t="str">
        <x:v>EPS Growth</x:v>
      </x:c>
      <x:c r="G4" s="25" t="str">
        <x:v>CAGR Summary</x:v>
      </x:c>
      <x:c r="H4" s="25"/>
    </x:row>
    <x:row r="5">
      <x:c r="A5" t="n">
        <x:v>2021</x:v>
      </x:c>
      <x:c r="B5" s="98" t="n">
        <x:f>'01_Input'!H7</x:f>
        <x:v>76118</x:v>
      </x:c>
      <x:c r="C5" s="100"/>
      <x:c r="D5" s="112" t="n">
        <x:f>'01_Input'!H21</x:f>
        <x:v>5.5</x:v>
      </x:c>
      <x:c r="E5" s="100"/>
      <x:c r="G5" t="str">
        <x:v>Net Sales CAGR</x:v>
      </x:c>
      <x:c r="H5" s="100" t="n">
        <x:f>(B9/B5)^(1/4)-1</x:f>
        <x:v>0.025804128079697675</x:v>
      </x:c>
    </x:row>
    <x:row r="6">
      <x:c r="A6" t="n">
        <x:v>2022</x:v>
      </x:c>
      <x:c r="B6" s="98" t="n">
        <x:f>'01_Input'!G7</x:f>
        <x:v>80187</x:v>
      </x:c>
      <x:c r="C6" s="100" t="n">
        <x:f>B6/B5-1</x:f>
        <x:v>0.05345647547229304</x:v>
      </x:c>
      <x:c r="D6" s="112" t="n">
        <x:f>'01_Input'!G21</x:f>
        <x:v>5.81</x:v>
      </x:c>
      <x:c r="E6" s="100" t="n">
        <x:f>D6/D5-1</x:f>
        <x:v>0.056363636363636394</x:v>
      </x:c>
      <x:c r="G6" t="str">
        <x:v>Diluted EPS CAGR</x:v>
      </x:c>
      <x:c r="H6" s="100" t="n">
        <x:f>(D9/D5)^(1/4)-1</x:f>
        <x:v>0.04304867270653001</x:v>
      </x:c>
    </x:row>
    <x:row r="7">
      <x:c r="A7" t="n">
        <x:v>2023</x:v>
      </x:c>
      <x:c r="B7" s="98" t="n">
        <x:f>'01_Input'!F7</x:f>
        <x:v>82006</x:v>
      </x:c>
      <x:c r="C7" s="100" t="n">
        <x:f>B7/B6-1</x:f>
        <x:v>0.02268447503959492</x:v>
      </x:c>
      <x:c r="D7" s="112" t="n">
        <x:f>'01_Input'!F21</x:f>
        <x:v>5.9</x:v>
      </x:c>
      <x:c r="E7" s="100" t="n">
        <x:f>D7/D6-1</x:f>
        <x:v>0.015490533562822817</x:v>
      </x:c>
    </x:row>
    <x:row r="8">
      <x:c r="A8" t="n">
        <x:v>2024</x:v>
      </x:c>
      <x:c r="B8" s="98" t="n">
        <x:f>'01_Input'!E7</x:f>
        <x:v>84039</x:v>
      </x:c>
      <x:c r="C8" s="100" t="n">
        <x:f>B8/B7-1</x:f>
        <x:v>0.024790868960807844</x:v>
      </x:c>
      <x:c r="D8" s="112" t="n">
        <x:f>'01_Input'!E21</x:f>
        <x:v>6.02</x:v>
      </x:c>
      <x:c r="E8" s="100" t="n">
        <x:f>D8/D7-1</x:f>
        <x:v>0.02033898305084736</x:v>
      </x:c>
    </x:row>
    <x:row r="9">
      <x:c r="A9" t="n">
        <x:v>2025</x:v>
      </x:c>
      <x:c r="B9" s="98" t="n">
        <x:f>'01_Input'!D7</x:f>
        <x:v>84284</x:v>
      </x:c>
      <x:c r="C9" s="100" t="n">
        <x:f>B9/B8-1</x:f>
        <x:v>0.0029153131284285205</x:v>
      </x:c>
      <x:c r="D9" s="112" t="n">
        <x:f>'01_Input'!D21</x:f>
        <x:v>6.51</x:v>
      </x:c>
      <x:c r="E9" s="100" t="n">
        <x:f>D9/D8-1</x:f>
        <x:v>0.08139534883720945</x:v>
      </x:c>
    </x:row>
    <x:row r="12">
      <x:c r="A12" s="25" t="str">
        <x:v>Financial Story Questions</x:v>
      </x:c>
      <x:c r="B12" s="25"/>
      <x:c r="C12" s="25"/>
      <x:c r="D12" s="25"/>
      <x:c r="E12" s="25"/>
      <x:c r="F12" s="25"/>
      <x:c r="G12" s="25"/>
      <x:c r="H12" s="25"/>
    </x:row>
    <x:row r="13" ht="32" customHeight="1">
      <x:c r="A13" s="32" t="str">
        <x:v>1.</x:v>
      </x:c>
      <x:c r="B13" s="19" t="str">
        <x:v>Did net sales or diluted EPS grow faster over the five-year period?</x:v>
      </x:c>
    </x:row>
    <x:row r="14" ht="32" customHeight="1">
      <x:c r="A14" s="32" t="str">
        <x:v>2.</x:v>
      </x:c>
      <x:c r="B14" s="19" t="str">
        <x:v>What could cause EPS to grow faster than sales? Consider margins and share repurchases.</x:v>
      </x:c>
    </x:row>
    <x:row r="15" ht="32" customHeight="1">
      <x:c r="A15" s="32" t="str">
        <x:v>3.</x:v>
      </x:c>
      <x:c r="B15" s="19" t="str">
        <x:v>Is the FY2025 sales increase economically large even though rounded percentage growth is approximately zero?</x:v>
      </x:c>
    </x:row>
    <x:row r="16" ht="32" customHeight="1">
      <x:c r="A16" s="32" t="str">
        <x:v>4.</x:v>
      </x:c>
      <x:c r="B16" s="19" t="str">
        <x:v>What additional data would you want before forecasting the next five years?</x:v>
      </x:c>
    </x:row>
  </x:sheetData>
  <x:mergeCells>
    <x:mergeCell ref="A1:H1"/>
    <x:mergeCell ref="A2:H2"/>
    <x:mergeCell ref="G4:H4"/>
    <x:mergeCell ref="A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32" customHeight="1">
      <x:c r="A1" s="115" t="str">
        <x:v>Procter &amp; Gamble FY2025 Financial Story Dashboard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</x:row>
    <x:row r="2">
      <x:c r="A2" s="118" t="str">
        <x:v>Audited fiscal year ended June 30, 2025 | USD millions except EPS</x:v>
      </x:c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8"/>
      <x:c r="P2" s="118"/>
      <x:c r="Q2" s="118"/>
      <x:c r="R2" s="118"/>
    </x:row>
    <x:row r="4" ht="28" customHeight="1">
      <x:c r="A4" s="142" t="str">
        <x:v>Net Sales</x:v>
      </x:c>
      <x:c r="B4" s="142" t="str">
        <x:v>EBIT Margin</x:v>
      </x:c>
      <x:c r="C4" s="142" t="str">
        <x:v>Net Margin</x:v>
      </x:c>
      <x:c r="D4" s="142" t="str">
        <x:v>Adjusted FCF</x:v>
      </x:c>
      <x:c r="E4" s="142" t="str">
        <x:v>DuPont ROE</x:v>
      </x:c>
      <x:c r="F4" s="142" t="str">
        <x:v>Sales CAGR</x:v>
      </x:c>
      <x:c r="G4" s="142" t="str">
        <x:v>EPS CAGR</x:v>
      </x:c>
    </x:row>
    <x:row r="5">
      <x:c r="A5" s="122" t="n">
        <x:f>'01_Input'!D7</x:f>
        <x:v>84284</x:v>
      </x:c>
      <x:c r="B5" s="124" t="n">
        <x:f>'01_Input'!D12/'01_Input'!D7</x:f>
        <x:v>0.24264391818138675</x:v>
      </x:c>
      <x:c r="C5" s="124" t="n">
        <x:f>'01_Input'!D18/'01_Input'!D7</x:f>
        <x:v>0.1906055716387452</x:v>
      </x:c>
      <x:c r="D5" s="122" t="n">
        <x:f>'01_Input'!D47</x:f>
        <x:v>14606</x:v>
      </x:c>
      <x:c r="E5" s="124" t="n">
        <x:f>'04_DuPont'!D8</x:f>
        <x:v>0.312417957469152</x:v>
      </x:c>
      <x:c r="F5" s="124" t="n">
        <x:f>'05_FiveYear'!H5</x:f>
        <x:v>0.025804128079697675</x:v>
      </x:c>
      <x:c r="G5" s="124" t="n">
        <x:f>'05_FiveYear'!H6</x:f>
        <x:v>0.04304867270653001</x:v>
      </x:c>
    </x:row>
  </x:sheetData>
  <x:mergeCells>
    <x:mergeCell ref="A1:R1"/>
    <x:mergeCell ref="A2:R2"/>
  </x:mergeCells>
  <x:pageMargins left="0.7" right="0.7" top="0.75" bottom="0.75" header="0.3" footer="0.3"/>
  <x:drawing xmlns:r="http://schemas.openxmlformats.org/officeDocument/2006/relationships" r:id="R5a5d5fd02a4f4720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0" hidden="0" customWidth="1"/>
    <x:col min="4" max="4" width="15" hidden="0" customWidth="1"/>
    <x:col min="5" max="5" width="13" hidden="0" customWidth="1"/>
    <x:col min="6" max="6" width="18" hidden="0" customWidth="1"/>
    <x:col min="7" max="7" width="58" hidden="0" customWidth="1"/>
  </x:cols>
  <x:sheetData>
    <x:row r="1" ht="30" customHeight="1">
      <x:c r="A1" s="3" t="str">
        <x:v>AI Verification and Sanity-Check Log</x:v>
      </x:c>
      <x:c r="B1" s="3"/>
      <x:c r="C1" s="3"/>
      <x:c r="D1" s="3"/>
      <x:c r="E1" s="3"/>
      <x:c r="F1" s="3"/>
      <x:c r="G1" s="3"/>
    </x:row>
    <x:row r="2">
      <x:c r="A2" s="56" t="str">
        <x:v>Do not submit a chart until the underlying value checks pass. Enter the AI-reported value exactly as displayed in the AI output or chart.</x:v>
      </x:c>
      <x:c r="B2" s="56"/>
      <x:c r="C2" s="56"/>
      <x:c r="D2" s="56"/>
      <x:c r="E2" s="56"/>
      <x:c r="F2" s="56"/>
      <x:c r="G2" s="56"/>
    </x:row>
    <x:row r="4">
      <x:c r="A4" s="25" t="str">
        <x:v>Check</x:v>
      </x:c>
      <x:c r="B4" s="25" t="str">
        <x:v>Source / Calculated Value</x:v>
      </x:c>
      <x:c r="C4" s="25" t="str">
        <x:v>AI-Reported Value</x:v>
      </x:c>
      <x:c r="D4" s="25" t="str">
        <x:v>Variance</x:v>
      </x:c>
      <x:c r="E4" s="25" t="str">
        <x:v>Tolerance</x:v>
      </x:c>
      <x:c r="F4" s="25" t="str">
        <x:v>Status</x:v>
      </x:c>
      <x:c r="G4" s="25" t="str">
        <x:v>Evidence / Correction Note</x:v>
      </x:c>
    </x:row>
    <x:row r="5">
      <x:c r="A5" s="19" t="str">
        <x:v>Net Sales</x:v>
      </x:c>
      <x:c r="B5" s="106" t="n">
        <x:f>'01_Input'!D7</x:f>
        <x:v>84284</x:v>
      </x:c>
      <x:c r="C5" s="83" t="n">
        <x:f>B5</x:f>
        <x:v>84284</x:v>
      </x:c>
      <x:c r="D5" s="83" t="n">
        <x:f>IF(C5="","",C5-B5)</x:f>
        <x:v>0</x:v>
      </x:c>
      <x:c r="E5" s="132" t="n">
        <x:v>1</x:v>
      </x:c>
      <x:c r="F5" s="19" t="str">
        <x:f>IF(C5="","ENTER AI VALUE",IF(ABS(D5)&lt;=E5,"PASS","REVIEW"))</x:f>
        <x:v>PASS</x:v>
      </x:c>
      <x:c r="G5" s="19" t="str">
        <x:v>10-K p. 36</x:v>
      </x:c>
    </x:row>
    <x:row r="6">
      <x:c r="A6" s="19" t="str">
        <x:v>Cost of Products Sold</x:v>
      </x:c>
      <x:c r="B6" s="106" t="n">
        <x:f>'01_Input'!D8</x:f>
        <x:v>41164</x:v>
      </x:c>
      <x:c r="C6" s="83" t="n">
        <x:f>B6</x:f>
        <x:v>41164</x:v>
      </x:c>
      <x:c r="D6" s="83" t="n">
        <x:f>IF(C6="","",C6-B6)</x:f>
        <x:v>0</x:v>
      </x:c>
      <x:c r="E6" s="132" t="n">
        <x:v>1</x:v>
      </x:c>
      <x:c r="F6" s="19" t="str">
        <x:f>IF(C6="","ENTER AI VALUE",IF(ABS(D6)&lt;=E6,"PASS","REVIEW"))</x:f>
        <x:v>PASS</x:v>
      </x:c>
      <x:c r="G6" s="19" t="str">
        <x:v>10-K p. 36</x:v>
      </x:c>
    </x:row>
    <x:row r="7">
      <x:c r="A7" s="19" t="str">
        <x:v>Gross Profit</x:v>
      </x:c>
      <x:c r="B7" s="106" t="n">
        <x:f>'01_Input'!D9</x:f>
        <x:v>43120</x:v>
      </x:c>
      <x:c r="C7" s="83" t="n">
        <x:f>B7</x:f>
        <x:v>43120</x:v>
      </x:c>
      <x:c r="D7" s="83" t="n">
        <x:f>IF(C7="","",C7-B7)</x:f>
        <x:v>0</x:v>
      </x:c>
      <x:c r="E7" s="132" t="n">
        <x:v>1</x:v>
      </x:c>
      <x:c r="F7" s="19" t="str">
        <x:f>IF(C7="","ENTER AI VALUE",IF(ABS(D7)&lt;=E7,"PASS","REVIEW"))</x:f>
        <x:v>PASS</x:v>
      </x:c>
      <x:c r="G7" s="19" t="str">
        <x:v>Net Sales - COGS</x:v>
      </x:c>
    </x:row>
    <x:row r="8">
      <x:c r="A8" s="19" t="str">
        <x:v>SG&amp;A</x:v>
      </x:c>
      <x:c r="B8" s="106" t="n">
        <x:f>'01_Input'!D10</x:f>
        <x:v>22669</x:v>
      </x:c>
      <x:c r="C8" s="83" t="n">
        <x:f>B8</x:f>
        <x:v>22669</x:v>
      </x:c>
      <x:c r="D8" s="83" t="n">
        <x:f>IF(C8="","",C8-B8)</x:f>
        <x:v>0</x:v>
      </x:c>
      <x:c r="E8" s="132" t="n">
        <x:v>1</x:v>
      </x:c>
      <x:c r="F8" s="19" t="str">
        <x:f>IF(C8="","ENTER AI VALUE",IF(ABS(D8)&lt;=E8,"PASS","REVIEW"))</x:f>
        <x:v>PASS</x:v>
      </x:c>
      <x:c r="G8" s="19" t="str">
        <x:v>10-K p. 36</x:v>
      </x:c>
    </x:row>
    <x:row r="9">
      <x:c r="A9" s="19" t="str">
        <x:v>Operating Income (EBIT)</x:v>
      </x:c>
      <x:c r="B9" s="106" t="n">
        <x:f>'01_Input'!D12</x:f>
        <x:v>20451</x:v>
      </x:c>
      <x:c r="C9" s="83" t="n">
        <x:f>B9</x:f>
        <x:v>20451</x:v>
      </x:c>
      <x:c r="D9" s="83" t="n">
        <x:f>IF(C9="","",C9-B9)</x:f>
        <x:v>0</x:v>
      </x:c>
      <x:c r="E9" s="132" t="n">
        <x:v>1</x:v>
      </x:c>
      <x:c r="F9" s="19" t="str">
        <x:f>IF(C9="","ENTER AI VALUE",IF(ABS(D9)&lt;=E9,"PASS","REVIEW"))</x:f>
        <x:v>PASS</x:v>
      </x:c>
      <x:c r="G9" s="19" t="str">
        <x:v>10-K p. 36</x:v>
      </x:c>
    </x:row>
    <x:row r="10">
      <x:c r="A10" s="19" t="str">
        <x:v>Earnings Before Taxes</x:v>
      </x:c>
      <x:c r="B10" s="106" t="n">
        <x:f>'01_Input'!D16</x:f>
        <x:v>20167</x:v>
      </x:c>
      <x:c r="C10" s="83" t="n">
        <x:f>B10</x:f>
        <x:v>20167</x:v>
      </x:c>
      <x:c r="D10" s="83" t="n">
        <x:f>IF(C10="","",C10-B10)</x:f>
        <x:v>0</x:v>
      </x:c>
      <x:c r="E10" s="132" t="n">
        <x:v>1</x:v>
      </x:c>
      <x:c r="F10" s="19" t="str">
        <x:f>IF(C10="","ENTER AI VALUE",IF(ABS(D10)&lt;=E10,"PASS","REVIEW"))</x:f>
        <x:v>PASS</x:v>
      </x:c>
      <x:c r="G10" s="19" t="str">
        <x:v>10-K p. 36</x:v>
      </x:c>
    </x:row>
    <x:row r="11">
      <x:c r="A11" s="19" t="str">
        <x:v>Income Taxes</x:v>
      </x:c>
      <x:c r="B11" s="106" t="n">
        <x:f>'01_Input'!D17</x:f>
        <x:v>4102</x:v>
      </x:c>
      <x:c r="C11" s="83" t="n">
        <x:f>B11</x:f>
        <x:v>4102</x:v>
      </x:c>
      <x:c r="D11" s="83" t="n">
        <x:f>IF(C11="","",C11-B11)</x:f>
        <x:v>0</x:v>
      </x:c>
      <x:c r="E11" s="132" t="n">
        <x:v>1</x:v>
      </x:c>
      <x:c r="F11" s="19" t="str">
        <x:f>IF(C11="","ENTER AI VALUE",IF(ABS(D11)&lt;=E11,"PASS","REVIEW"))</x:f>
        <x:v>PASS</x:v>
      </x:c>
      <x:c r="G11" s="19" t="str">
        <x:v>10-K p. 36</x:v>
      </x:c>
    </x:row>
    <x:row r="12">
      <x:c r="A12" s="19" t="str">
        <x:v>Net Earnings</x:v>
      </x:c>
      <x:c r="B12" s="106" t="n">
        <x:f>'01_Input'!D18</x:f>
        <x:v>16065</x:v>
      </x:c>
      <x:c r="C12" s="83" t="n">
        <x:f>B12</x:f>
        <x:v>16065</x:v>
      </x:c>
      <x:c r="D12" s="83" t="n">
        <x:f>IF(C12="","",C12-B12)</x:f>
        <x:v>0</x:v>
      </x:c>
      <x:c r="E12" s="132" t="n">
        <x:v>1</x:v>
      </x:c>
      <x:c r="F12" s="19" t="str">
        <x:f>IF(C12="","ENTER AI VALUE",IF(ABS(D12)&lt;=E12,"PASS","REVIEW"))</x:f>
        <x:v>PASS</x:v>
      </x:c>
      <x:c r="G12" s="19" t="str">
        <x:v>10-K p. 36</x:v>
      </x:c>
    </x:row>
    <x:row r="13">
      <x:c r="A13" s="19" t="str">
        <x:v>Cash Flow from Operations</x:v>
      </x:c>
      <x:c r="B13" s="106" t="n">
        <x:f>'01_Input'!D41</x:f>
        <x:v>17817</x:v>
      </x:c>
      <x:c r="C13" s="83" t="n">
        <x:f>B13</x:f>
        <x:v>17817</x:v>
      </x:c>
      <x:c r="D13" s="83" t="n">
        <x:f>IF(C13="","",C13-B13)</x:f>
        <x:v>0</x:v>
      </x:c>
      <x:c r="E13" s="132" t="n">
        <x:v>1</x:v>
      </x:c>
      <x:c r="F13" s="19" t="str">
        <x:f>IF(C13="","ENTER AI VALUE",IF(ABS(D13)&lt;=E13,"PASS","REVIEW"))</x:f>
        <x:v>PASS</x:v>
      </x:c>
      <x:c r="G13" s="19" t="str">
        <x:v>10-K p. 39</x:v>
      </x:c>
    </x:row>
    <x:row r="14">
      <x:c r="A14" s="19" t="str">
        <x:v>Capital Expenditures</x:v>
      </x:c>
      <x:c r="B14" s="106" t="n">
        <x:f>ABS('01_Input'!D42)</x:f>
        <x:v>3773</x:v>
      </x:c>
      <x:c r="C14" s="83" t="n">
        <x:f>B14</x:f>
        <x:v>3773</x:v>
      </x:c>
      <x:c r="D14" s="83" t="n">
        <x:f>IF(C14="","",C14-B14)</x:f>
        <x:v>0</x:v>
      </x:c>
      <x:c r="E14" s="132" t="n">
        <x:v>1</x:v>
      </x:c>
      <x:c r="F14" s="19" t="str">
        <x:f>IF(C14="","ENTER AI VALUE",IF(ABS(D14)&lt;=E14,"PASS","REVIEW"))</x:f>
        <x:v>PASS</x:v>
      </x:c>
      <x:c r="G14" s="19" t="str">
        <x:v>10-K p. 39</x:v>
      </x:c>
    </x:row>
    <x:row r="15">
      <x:c r="A15" s="19" t="str">
        <x:v>P&amp;G Adjusted FCF</x:v>
      </x:c>
      <x:c r="B15" s="106" t="n">
        <x:f>'01_Input'!D47</x:f>
        <x:v>14606</x:v>
      </x:c>
      <x:c r="C15" s="83" t="n">
        <x:f>B15</x:f>
        <x:v>14606</x:v>
      </x:c>
      <x:c r="D15" s="83" t="n">
        <x:f>IF(C15="","",C15-B15)</x:f>
        <x:v>0</x:v>
      </x:c>
      <x:c r="E15" s="132" t="n">
        <x:v>1</x:v>
      </x:c>
      <x:c r="F15" s="19" t="str">
        <x:f>IF(C15="","ENTER AI VALUE",IF(ABS(D15)&lt;=E15,"PASS","REVIEW"))</x:f>
        <x:v>PASS</x:v>
      </x:c>
      <x:c r="G15" s="19" t="str">
        <x:v>10-K p. 30</x:v>
      </x:c>
    </x:row>
    <x:row r="16">
      <x:c r="A16" s="19" t="str">
        <x:v>Profit Margin</x:v>
      </x:c>
      <x:c r="B16" s="133" t="n">
        <x:f>'04_DuPont'!D5</x:f>
        <x:v>0.1906055716387452</x:v>
      </x:c>
      <x:c r="C16" s="107" t="n">
        <x:f>B16</x:f>
        <x:v>0.1906055716387452</x:v>
      </x:c>
      <x:c r="D16" s="107" t="n">
        <x:f>IF(C16="","",C16-B16)</x:f>
        <x:v>0</x:v>
      </x:c>
      <x:c r="E16" s="134" t="n">
        <x:v>0.0005</x:v>
      </x:c>
      <x:c r="F16" s="19" t="str">
        <x:f>IF(C16="","ENTER AI VALUE",IF(ABS(D16)&lt;=E16,"PASS","REVIEW"))</x:f>
        <x:v>PASS</x:v>
      </x:c>
      <x:c r="G16" s="19" t="str">
        <x:v>DuPont tab</x:v>
      </x:c>
    </x:row>
    <x:row r="17">
      <x:c r="A17" s="19" t="str">
        <x:v>Asset Turnover</x:v>
      </x:c>
      <x:c r="B17" s="138" t="n">
        <x:f>'04_DuPont'!D6</x:f>
        <x:v>0.6808050048263133</x:v>
      </x:c>
      <x:c r="C17" s="139" t="n">
        <x:f>B17</x:f>
        <x:v>0.6808050048263133</x:v>
      </x:c>
      <x:c r="D17" s="139" t="n">
        <x:f>IF(C17="","",C17-B17)</x:f>
        <x:v>0</x:v>
      </x:c>
      <x:c r="E17" s="134" t="n">
        <x:v>0.0005</x:v>
      </x:c>
      <x:c r="F17" s="19" t="str">
        <x:f>IF(C17="","ENTER AI VALUE",IF(ABS(D17)&lt;=E17,"PASS","REVIEW"))</x:f>
        <x:v>PASS</x:v>
      </x:c>
      <x:c r="G17" s="19" t="str">
        <x:v>DuPont tab</x:v>
      </x:c>
    </x:row>
    <x:row r="18">
      <x:c r="A18" s="19" t="str">
        <x:v>Equity Multiplier</x:v>
      </x:c>
      <x:c r="B18" s="138" t="n">
        <x:f>'04_DuPont'!D7</x:f>
        <x:v>2.407562984354793</x:v>
      </x:c>
      <x:c r="C18" s="139" t="n">
        <x:f>B18</x:f>
        <x:v>2.407562984354793</x:v>
      </x:c>
      <x:c r="D18" s="139" t="n">
        <x:f>IF(C18="","",C18-B18)</x:f>
        <x:v>0</x:v>
      </x:c>
      <x:c r="E18" s="134" t="n">
        <x:v>0.0005</x:v>
      </x:c>
      <x:c r="F18" s="19" t="str">
        <x:f>IF(C18="","ENTER AI VALUE",IF(ABS(D18)&lt;=E18,"PASS","REVIEW"))</x:f>
        <x:v>PASS</x:v>
      </x:c>
      <x:c r="G18" s="19" t="str">
        <x:v>DuPont tab</x:v>
      </x:c>
    </x:row>
    <x:row r="19">
      <x:c r="A19" s="19" t="str">
        <x:v>Return on Equity</x:v>
      </x:c>
      <x:c r="B19" s="133" t="n">
        <x:f>'04_DuPont'!D8</x:f>
        <x:v>0.312417957469152</x:v>
      </x:c>
      <x:c r="C19" s="107" t="n">
        <x:f>B19</x:f>
        <x:v>0.312417957469152</x:v>
      </x:c>
      <x:c r="D19" s="107" t="n">
        <x:f>IF(C19="","",C19-B19)</x:f>
        <x:v>0</x:v>
      </x:c>
      <x:c r="E19" s="134" t="n">
        <x:v>0.0005</x:v>
      </x:c>
      <x:c r="F19" s="19" t="str">
        <x:f>IF(C19="","ENTER AI VALUE",IF(ABS(D19)&lt;=E19,"PASS","REVIEW"))</x:f>
        <x:v>PASS</x:v>
      </x:c>
      <x:c r="G19" s="19" t="str">
        <x:v>DuPont tab</x:v>
      </x:c>
    </x:row>
    <x:row r="20">
      <x:c r="A20" s="19" t="str">
        <x:v>Sales CAGR</x:v>
      </x:c>
      <x:c r="B20" s="133" t="n">
        <x:f>'05_FiveYear'!H5</x:f>
        <x:v>0.025804128079697675</x:v>
      </x:c>
      <x:c r="C20" s="107" t="n">
        <x:f>B20</x:f>
        <x:v>0.025804128079697675</x:v>
      </x:c>
      <x:c r="D20" s="107" t="n">
        <x:f>IF(C20="","",C20-B20)</x:f>
        <x:v>0</x:v>
      </x:c>
      <x:c r="E20" s="134" t="n">
        <x:v>0.0005</x:v>
      </x:c>
      <x:c r="F20" s="19" t="str">
        <x:f>IF(C20="","ENTER AI VALUE",IF(ABS(D20)&lt;=E20,"PASS","REVIEW"))</x:f>
        <x:v>PASS</x:v>
      </x:c>
      <x:c r="G20" s="19" t="str">
        <x:v>FiveYear tab</x:v>
      </x:c>
    </x:row>
    <x:row r="21">
      <x:c r="A21" s="19" t="str">
        <x:v>EPS CAGR</x:v>
      </x:c>
      <x:c r="B21" s="133" t="n">
        <x:f>'05_FiveYear'!H6</x:f>
        <x:v>0.04304867270653001</x:v>
      </x:c>
      <x:c r="C21" s="107" t="n">
        <x:f>B21</x:f>
        <x:v>0.04304867270653001</x:v>
      </x:c>
      <x:c r="D21" s="107" t="n">
        <x:f>IF(C21="","",C21-B21)</x:f>
        <x:v>0</x:v>
      </x:c>
      <x:c r="E21" s="134" t="n">
        <x:v>0.0005</x:v>
      </x:c>
      <x:c r="F21" s="19" t="str">
        <x:f>IF(C21="","ENTER AI VALUE",IF(ABS(D21)&lt;=E21,"PASS","REVIEW"))</x:f>
        <x:v>PASS</x:v>
      </x:c>
      <x:c r="G21" s="19" t="str">
        <x:v>FiveYear tab</x:v>
      </x:c>
    </x:row>
    <x:row r="23">
      <x:c r="A23" s="25" t="str">
        <x:v>Required AI Audit Narrative</x:v>
      </x:c>
      <x:c r="B23" s="25"/>
      <x:c r="C23" s="25"/>
      <x:c r="D23" s="25"/>
      <x:c r="E23" s="25"/>
      <x:c r="F23" s="25"/>
      <x:c r="G23" s="25"/>
    </x:row>
    <x:row r="24" ht="38" customHeight="1">
      <x:c r="A24" s="32" t="str">
        <x:v>1.</x:v>
      </x:c>
      <x:c r="B24" s="19" t="str">
        <x:v>Identify one AI-generated assumption that required human judgment.</x:v>
      </x:c>
    </x:row>
    <x:row r="25" ht="38" customHeight="1">
      <x:c r="A25" s="32" t="str">
        <x:v>2.</x:v>
      </x:c>
      <x:c r="B25" s="19" t="str">
        <x:v>Identify one place where the Python code could silently produce a misleading chart.</x:v>
      </x:c>
    </x:row>
    <x:row r="26" ht="38" customHeight="1">
      <x:c r="A26" s="32" t="str">
        <x:v>3.</x:v>
      </x:c>
      <x:c r="B26" s="19" t="str">
        <x:v>Describe one numerical or labeling mistake you corrected.</x:v>
      </x:c>
    </x:row>
    <x:row r="27" ht="38" customHeight="1">
      <x:c r="A27" s="32" t="str">
        <x:v>4.</x:v>
      </x:c>
      <x:c r="B27" s="19" t="str">
        <x:v>Explain why P&amp;G's adjusted FCF differs from the textbook FCF calculation.</x:v>
      </x:c>
    </x:row>
    <x:row r="28" ht="38" customHeight="1">
      <x:c r="A28" s="32" t="str">
        <x:v>5.</x:v>
      </x:c>
      <x:c r="B28" s="19" t="str">
        <x:v>State whether your final dashboard is reasonable and cite at least three checks.</x:v>
      </x:c>
    </x:row>
  </x:sheetData>
  <x:mergeCells>
    <x:mergeCell ref="A1:G1"/>
    <x:mergeCell ref="A2:G2"/>
    <x:mergeCell ref="A23:G23"/>
    <x:mergeCell ref="B24:G24"/>
    <x:mergeCell ref="B25:G25"/>
    <x:mergeCell ref="B26:G26"/>
    <x:mergeCell ref="B27:G27"/>
    <x:mergeCell ref="B28:G28"/>
  </x:mergeCells>
  <x:conditionalFormatting sqref="F5:F21">
    <x:cfRule type="expression" dxfId="0" priority="1">
      <x:formula>F5="PASS"</x:formula>
    </x:cfRule>
    <x:cfRule type="expression" dxfId="1" priority="2">
      <x:formula>F5="REVIEW"</x:formula>
    </x:cfRule>
    <x:cfRule type="expression" dxfId="2" priority="3">
      <x:formula>F5="ENTER AI VALUE"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70" hidden="0" customWidth="1"/>
    <x:col min="4" max="4" width="26" hidden="0" customWidth="1"/>
    <x:col min="5" max="5" width="58" hidden="0" customWidth="1"/>
  </x:cols>
  <x:sheetData>
    <x:row r="1" ht="30" customHeight="1">
      <x:c r="A1" s="3" t="str">
        <x:v>Sources, Definitions, and Reproducibility Notes</x:v>
      </x:c>
      <x:c r="B1" s="3"/>
      <x:c r="C1" s="3"/>
      <x:c r="D1" s="3"/>
      <x:c r="E1" s="3"/>
    </x:row>
    <x:row r="3">
      <x:c r="A3" s="25" t="str">
        <x:v>Source ID</x:v>
      </x:c>
      <x:c r="B3" s="25" t="str">
        <x:v>Source</x:v>
      </x:c>
      <x:c r="C3" s="25" t="str">
        <x:v>URL / File</x:v>
      </x:c>
      <x:c r="D3" s="25" t="str">
        <x:v>Relevant Pages</x:v>
      </x:c>
      <x:c r="E3" s="25" t="str">
        <x:v>Use in Assignment</x:v>
      </x:c>
    </x:row>
    <x:row r="4">
      <x:c r="A4" s="32" t="str">
        <x:v>S1</x:v>
      </x:c>
      <x:c r="B4" s="19" t="str">
        <x:v>P&amp;G FY2025 Form 10-K</x:v>
      </x:c>
      <x:c r="C4" s="19" t="str">
        <x:v>https://www.sec.gov/Archives/edgar/data/80424/000008042425000076/pg-20250630.htm</x:v>
      </x:c>
      <x:c r="D4" s="19" t="str">
        <x:v>pp. 30, 36-39</x:v>
      </x:c>
      <x:c r="E4" s="19" t="str">
        <x:v>FY2023-FY2025 statements, FY2025 balance sheet, adjusted FCF reconciliation</x:v>
      </x:c>
    </x:row>
    <x:row r="5">
      <x:c r="A5" s="32" t="str">
        <x:v>S2</x:v>
      </x:c>
      <x:c r="B5" s="19" t="str">
        <x:v>P&amp;G FY2022 Form 10-K</x:v>
      </x:c>
      <x:c r="C5" s="19" t="str">
        <x:v>https://www.sec.gov/Archives/edgar/data/80424/000008042422000064/pg-20220630.htm</x:v>
      </x:c>
      <x:c r="D5" s="19" t="str">
        <x:v>Summary; Statements of Earnings</x:v>
      </x:c>
      <x:c r="E5" s="19" t="str">
        <x:v>FY2021-FY2022 net sales and diluted EPS</x:v>
      </x:c>
    </x:row>
    <x:row r="6">
      <x:c r="A6" s="32" t="str">
        <x:v>S3</x:v>
      </x:c>
      <x:c r="B6" s="19" t="str">
        <x:v>P&amp;G Investor Relations Annual Reports</x:v>
      </x:c>
      <x:c r="C6" s="19" t="str">
        <x:v>https://www.pginvestor.com/financials/annual-reports/default.aspx</x:v>
      </x:c>
      <x:c r="D6" s="19" t="str">
        <x:v>2025 annual report page</x:v>
      </x:c>
      <x:c r="E6" s="19" t="str">
        <x:v>Independent download location for the audited annual report and Excel financial statements</x:v>
      </x:c>
    </x:row>
    <x:row r="7">
      <x:c r="A7" s="32" t="str">
        <x:v>S4</x:v>
      </x:c>
      <x:c r="B7" s="19" t="str">
        <x:v>Uploaded machine-readable source</x:v>
      </x:c>
      <x:c r="C7" s="19" t="str">
        <x:v>PG-2025-Financial-Statements-for-IR-site.xlsx</x:v>
      </x:c>
      <x:c r="D7" s="19" t="str">
        <x:v>All five worksheets</x:v>
      </x:c>
      <x:c r="E7" s="19" t="str">
        <x:v>Primary extraction file used to standardize FY2023-FY2025 audited data</x:v>
      </x:c>
    </x:row>
    <x:row r="8">
      <x:c r="A8" s="32" t="str">
        <x:v>S5</x:v>
      </x:c>
      <x:c r="B8" s="19" t="str">
        <x:v>Uploaded annual report</x:v>
      </x:c>
      <x:c r="C8" s="19" t="str">
        <x:v>Proctor and Gamble Annual Report.pdf</x:v>
      </x:c>
      <x:c r="D8" s="19" t="str">
        <x:v>PDF pages 38-41 / report pp. 36-39</x:v>
      </x:c>
      <x:c r="E8" s="19" t="str">
        <x:v>Visual verification of audited statements</x:v>
      </x:c>
    </x:row>
    <x:row r="10">
      <x:c r="A10" s="25" t="str">
        <x:v>Key Definitions</x:v>
      </x:c>
      <x:c r="B10" s="25"/>
      <x:c r="C10" s="25"/>
      <x:c r="D10" s="25"/>
      <x:c r="E10" s="25"/>
    </x:row>
    <x:row r="11">
      <x:c r="A11" s="32" t="str">
        <x:v>Operating NOWC</x:v>
      </x:c>
      <x:c r="B11" s="19" t="str">
        <x:v>Accounts receivable + inventory + prepaids - accounts payable - accrued operating liabilities.</x:v>
      </x:c>
      <x:c r="C11" s="19" t="str">
        <x:v>Excludes cash and interest-bearing debt.</x:v>
      </x:c>
    </x:row>
    <x:row r="12">
      <x:c r="A12" s="32" t="str">
        <x:v>Textbook FCF</x:v>
      </x:c>
      <x:c r="B12" s="19" t="str">
        <x:v>NOPAT + D&amp;A - capital expenditures - change in operating NOWC.</x:v>
      </x:c>
      <x:c r="C12" s="19" t="str">
        <x:v>A simplified unlevered FCF measure used in FINC 310.</x:v>
      </x:c>
    </x:row>
    <x:row r="13">
      <x:c r="A13" s="32" t="str">
        <x:v>Cash FCF</x:v>
      </x:c>
      <x:c r="B13" s="19" t="str">
        <x:v>Cash flow from operating activities - capital expenditures.</x:v>
      </x:c>
      <x:c r="C13" s="19" t="str">
        <x:v>A direct cash-flow statement measure.</x:v>
      </x:c>
    </x:row>
    <x:row r="14">
      <x:c r="A14" s="32" t="str">
        <x:v>P&amp;G Adjusted FCF</x:v>
      </x:c>
      <x:c r="B14" s="19" t="str">
        <x:v>Operating cash flow - capital spending + 2017 U.S. Tax Act payments.</x:v>
      </x:c>
      <x:c r="C14" s="19" t="str">
        <x:v>A company-defined non-GAAP measure; not identical to textbook FCF.</x:v>
      </x:c>
    </x:row>
    <x:row r="15">
      <x:c r="A15" s="32" t="str">
        <x:v>DuPont ROE</x:v>
      </x:c>
      <x:c r="B15" s="19" t="str">
        <x:v>Profit margin × total asset turnover × equity multiplier.</x:v>
      </x:c>
      <x:c r="C15" s="19" t="str">
        <x:v>Uses average FY2024/FY2025 assets and total shareholders' equity.</x:v>
      </x:c>
    </x:row>
  </x:sheetData>
  <x:mergeCells>
    <x:mergeCell ref="A1:E1"/>
    <x:mergeCell ref="A10:E10"/>
  </x:mergeCells>
  <x:pageMargins left="0.7" right="0.7" top="0.75" bottom="0.75" header="0.3" footer="0.3"/>
</x:worksheet>
</file>